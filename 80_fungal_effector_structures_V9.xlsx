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22112/Downloads/ECTRIE/Soft Matter Physics/Oxysporum/"/>
    </mc:Choice>
  </mc:AlternateContent>
  <xr:revisionPtr revIDLastSave="0" documentId="13_ncr:1_{24BED7FA-508B-2246-B12D-2F77B6843E06}" xr6:coauthVersionLast="47" xr6:coauthVersionMax="47" xr10:uidLastSave="{00000000-0000-0000-0000-000000000000}"/>
  <bookViews>
    <workbookView xWindow="0" yWindow="0" windowWidth="28800" windowHeight="18000" activeTab="5" xr2:uid="{E97C4F02-AB94-0E44-ACB6-11B5F70FF26F}"/>
  </bookViews>
  <sheets>
    <sheet name="pdb_metadata_with_tmalign_2 cop" sheetId="5" state="hidden" r:id="rId1"/>
    <sheet name="pdb_metadata_with_tmalign copy " sheetId="4" state="hidden" r:id="rId2"/>
    <sheet name="pdb_metadata_with_tmalign_2 (2)" sheetId="6" state="hidden" r:id="rId3"/>
    <sheet name="pdb_metadata_with_tmalign_2" sheetId="7" state="hidden" r:id="rId4"/>
    <sheet name="pdb_metadata_with_tmalign_AF2" sheetId="8" state="hidden" r:id="rId5"/>
    <sheet name="Structures" sheetId="10" r:id="rId6"/>
    <sheet name="pdb_metadata_with_tmalign_A (2)" sheetId="16" state="hidden" r:id="rId7"/>
    <sheet name="Structures_all" sheetId="15" state="hidden" r:id="rId8"/>
    <sheet name="pdb_metadata_with_tmalign_AF3" sheetId="14" state="hidden" r:id="rId9"/>
    <sheet name="Sheet3" sheetId="13" state="hidden" r:id="rId10"/>
    <sheet name="Sheet4" sheetId="11" state="hidden" r:id="rId11"/>
    <sheet name="Sheet1" sheetId="12" state="hidden" r:id="rId12"/>
    <sheet name="Sheet2" sheetId="9" state="hidden" r:id="rId13"/>
  </sheets>
  <definedNames>
    <definedName name="_xlnm._FilterDatabase" localSheetId="0" hidden="1">'pdb_metadata_with_tmalign_2 cop'!$A$1:$L$104</definedName>
    <definedName name="_xlnm._FilterDatabase" localSheetId="11" hidden="1">Sheet1!$B$6:$C$109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0" l="1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</calcChain>
</file>

<file path=xl/sharedStrings.xml><?xml version="1.0" encoding="utf-8"?>
<sst xmlns="http://schemas.openxmlformats.org/spreadsheetml/2006/main" count="5778" uniqueCount="523">
  <si>
    <t xml:space="preserve">Explanation of table </t>
  </si>
  <si>
    <t xml:space="preserve">Structural family (inferred from La Naour Vernet et al. (2025)) </t>
  </si>
  <si>
    <t>PDB_ID</t>
  </si>
  <si>
    <t xml:space="preserve">How many protein identities in crystal structure </t>
  </si>
  <si>
    <t>Chain</t>
  </si>
  <si>
    <t>Annotation</t>
  </si>
  <si>
    <t>Organism</t>
  </si>
  <si>
    <t>Effector</t>
  </si>
  <si>
    <t>Method</t>
  </si>
  <si>
    <t>Resolution</t>
  </si>
  <si>
    <t xml:space="preserve">Found in </t>
  </si>
  <si>
    <t>Resolved by</t>
  </si>
  <si>
    <t>Deposition_date</t>
  </si>
  <si>
    <t>1FN8_1</t>
  </si>
  <si>
    <t>A</t>
  </si>
  <si>
    <t>TRYPSIN</t>
  </si>
  <si>
    <t>Fusarium oxysporum (5507)</t>
  </si>
  <si>
    <t>2000-08-21</t>
  </si>
  <si>
    <t>1FN8_2</t>
  </si>
  <si>
    <t>B</t>
  </si>
  <si>
    <t>GLY-ALA-ARG</t>
  </si>
  <si>
    <t>1KG1_1</t>
  </si>
  <si>
    <t>Necrosis Inducing Protein 1</t>
  </si>
  <si>
    <t>Rhynchosporium secalis (38038)</t>
  </si>
  <si>
    <t>2001-11-26</t>
  </si>
  <si>
    <t>1KPT_1</t>
  </si>
  <si>
    <t>A, B</t>
  </si>
  <si>
    <t>KP4 TOXIN</t>
  </si>
  <si>
    <t>Ustilago maydis (5270)</t>
  </si>
  <si>
    <t>1995-06-06</t>
  </si>
  <si>
    <t>1ZLD_1</t>
  </si>
  <si>
    <t>Ptr necrosis toxin</t>
  </si>
  <si>
    <t>Pyrenophora tritici-repentis (45151)</t>
  </si>
  <si>
    <t>2005-05-06</t>
  </si>
  <si>
    <t>1ZLE_1</t>
  </si>
  <si>
    <t>A, B, C</t>
  </si>
  <si>
    <t>2LW6_1</t>
  </si>
  <si>
    <t>AvrPiz-t protein</t>
  </si>
  <si>
    <t>Magnaporthe oryzae (318829)</t>
  </si>
  <si>
    <t>2012-07-23</t>
  </si>
  <si>
    <t>2MM0_1</t>
  </si>
  <si>
    <t>Host-selective toxin protein</t>
  </si>
  <si>
    <t>2014-03-06</t>
  </si>
  <si>
    <t>2MM2_1</t>
  </si>
  <si>
    <t>Toxb</t>
  </si>
  <si>
    <t>2MYV_1</t>
  </si>
  <si>
    <t>Uncharacterized protein</t>
  </si>
  <si>
    <t>Magnaporthe grisea (148305)</t>
  </si>
  <si>
    <t>2015-01-30</t>
  </si>
  <si>
    <t>2MYW_1</t>
  </si>
  <si>
    <t>AVR-Pia protein</t>
  </si>
  <si>
    <t>2N37_1</t>
  </si>
  <si>
    <t>2015-05-25</t>
  </si>
  <si>
    <t>2N4O_1</t>
  </si>
  <si>
    <t>Hydrophobin-like protein MPG1</t>
  </si>
  <si>
    <t>Magnaporthe oryzae 70-15 (242507)</t>
  </si>
  <si>
    <t>2015-06-25</t>
  </si>
  <si>
    <t>2OPC_1</t>
  </si>
  <si>
    <t>AvrL567-A</t>
  </si>
  <si>
    <t>Melampsora lini (5261)</t>
  </si>
  <si>
    <t>2007-01-29</t>
  </si>
  <si>
    <t>2QVT_1</t>
  </si>
  <si>
    <t>AvrL567-D</t>
  </si>
  <si>
    <t>2007-08-08</t>
  </si>
  <si>
    <t>31EE_1</t>
  </si>
  <si>
    <t>Cyclodipeptide synthase (FoCDPS)</t>
  </si>
  <si>
    <t>2026-05-28</t>
  </si>
  <si>
    <t>31EE_2</t>
  </si>
  <si>
    <t>C</t>
  </si>
  <si>
    <t>ALA-ALA-LEU-ALA-PRO-LEU-GLY-SER-VAL-GLY-SER-VAL</t>
  </si>
  <si>
    <t>4B8V_1</t>
  </si>
  <si>
    <t>EXTRACELLULAR PROTEIN 6</t>
  </si>
  <si>
    <t>PASSALORA FULVA (5499)</t>
  </si>
  <si>
    <t>2012-08-30</t>
  </si>
  <si>
    <t>4B9H_1</t>
  </si>
  <si>
    <t>2012-09-04</t>
  </si>
  <si>
    <t>4BJM_1</t>
  </si>
  <si>
    <t>A, B, C, D</t>
  </si>
  <si>
    <t>AVRM</t>
  </si>
  <si>
    <t>MELAMPSORA LINI (5261)</t>
  </si>
  <si>
    <t>2013-04-19</t>
  </si>
  <si>
    <t>4BJN_1</t>
  </si>
  <si>
    <t>A, B, C, D, E, F, G, H</t>
  </si>
  <si>
    <t>AVRM-A</t>
  </si>
  <si>
    <t>4FPQ_1</t>
  </si>
  <si>
    <t>Avirulence Effector AvrLm4-7</t>
  </si>
  <si>
    <t>Leptosphaeria maculans (985895)</t>
  </si>
  <si>
    <t>2012-06-22</t>
  </si>
  <si>
    <t>4FPR_1</t>
  </si>
  <si>
    <t>4GVB_1</t>
  </si>
  <si>
    <t>KP6 killer toxin subunit alpha</t>
  </si>
  <si>
    <t>Ustilago maydis virus P6 (11010)</t>
  </si>
  <si>
    <t>4GVB_2</t>
  </si>
  <si>
    <t>KP6 killer toxin subunit beta</t>
  </si>
  <si>
    <t>4Z4A_1</t>
  </si>
  <si>
    <t>Carbohydrate-binding module family 14 protein</t>
  </si>
  <si>
    <t>Pseudocercospora fuligena (685502)</t>
  </si>
  <si>
    <t>2015-04-01</t>
  </si>
  <si>
    <t>5A6W_1</t>
  </si>
  <si>
    <t>RESISTANCE PROTEIN PIKP-1</t>
  </si>
  <si>
    <t>ORYZA SATIVA (4530)</t>
  </si>
  <si>
    <t>2015-07-01</t>
  </si>
  <si>
    <t>5A6W_2</t>
  </si>
  <si>
    <t>AVR-PIK PROTEIN</t>
  </si>
  <si>
    <t>MAGNAPORTHE ORYZAE (318829)</t>
  </si>
  <si>
    <t>5FID_1</t>
  </si>
  <si>
    <t>Elicitor protein Hrip2</t>
  </si>
  <si>
    <t>2015-12-23</t>
  </si>
  <si>
    <t>5FNO_1</t>
  </si>
  <si>
    <t>MANGANESE LIPOXYGENASE</t>
  </si>
  <si>
    <t>2015-11-16</t>
  </si>
  <si>
    <t>5JHJ_1</t>
  </si>
  <si>
    <t>Antivirulence protein AVR-Pia</t>
  </si>
  <si>
    <t>2016-04-21</t>
  </si>
  <si>
    <t>5LOS_1</t>
  </si>
  <si>
    <t>PIIN_05872</t>
  </si>
  <si>
    <t>Piriformospora indica (1109443)</t>
  </si>
  <si>
    <t>2016-08-09</t>
  </si>
  <si>
    <t>5OD4_1</t>
  </si>
  <si>
    <t>Secreted in xylem 3</t>
  </si>
  <si>
    <t>2017-07-04</t>
  </si>
  <si>
    <t>5VJJ_1</t>
  </si>
  <si>
    <t>Avirulence protein AvrP123</t>
  </si>
  <si>
    <t>2017-04-19</t>
  </si>
  <si>
    <t>5XMZ_1</t>
  </si>
  <si>
    <t>Effector protein PevD1</t>
  </si>
  <si>
    <t>Verticillium dahliae (27337)</t>
  </si>
  <si>
    <t>2017-05-17</t>
  </si>
  <si>
    <t>5Z1V_1</t>
  </si>
  <si>
    <t>AvrPib protein</t>
  </si>
  <si>
    <t>2017-12-28</t>
  </si>
  <si>
    <t>5ZNG_1</t>
  </si>
  <si>
    <t>NBS-LRR type protein</t>
  </si>
  <si>
    <t>Oryza sativa subsp. japonica (39947)</t>
  </si>
  <si>
    <t>2018-04-09</t>
  </si>
  <si>
    <t>5ZNG_2</t>
  </si>
  <si>
    <t>B[auth C]</t>
  </si>
  <si>
    <t>AVR1-CO39</t>
  </si>
  <si>
    <t>6BN0_1</t>
  </si>
  <si>
    <t>Race-specific elicitor A4</t>
  </si>
  <si>
    <t>Passalora fulva (5499)</t>
  </si>
  <si>
    <t>2017-11-15</t>
  </si>
  <si>
    <t>6FMB_1</t>
  </si>
  <si>
    <t>CSEP0064 putative effector protein</t>
  </si>
  <si>
    <t>Blumeria graminis f. sp. hordei (2867405)</t>
  </si>
  <si>
    <t>2018-01-30</t>
  </si>
  <si>
    <t>6FU9_1</t>
  </si>
  <si>
    <t>A, C</t>
  </si>
  <si>
    <t>NBS-LRR class disease resistance protein</t>
  </si>
  <si>
    <t>2018-02-26</t>
  </si>
  <si>
    <t>6FU9_2</t>
  </si>
  <si>
    <t>B, D</t>
  </si>
  <si>
    <t>AVR-Pik protein</t>
  </si>
  <si>
    <t>6FUB_1</t>
  </si>
  <si>
    <t>A[auth B]</t>
  </si>
  <si>
    <t>6FUB_2</t>
  </si>
  <si>
    <t>B[auth A]</t>
  </si>
  <si>
    <t>6FUD_1</t>
  </si>
  <si>
    <t>6FUD_2</t>
  </si>
  <si>
    <t>6G10_1</t>
  </si>
  <si>
    <t>Resistance protein Pikp-1</t>
  </si>
  <si>
    <t>2018-03-20</t>
  </si>
  <si>
    <t>6G10_2</t>
  </si>
  <si>
    <t>6G11_1</t>
  </si>
  <si>
    <t>A[auth C], D[auth F]</t>
  </si>
  <si>
    <t>6G11_2</t>
  </si>
  <si>
    <t>B[auth A], C[auth B], E[auth D], F[auth E]</t>
  </si>
  <si>
    <t xml:space="preserve">Oryza sativa subsp. japonica </t>
  </si>
  <si>
    <t>6H0I_1</t>
  </si>
  <si>
    <t>Secreted protein</t>
  </si>
  <si>
    <t>Melampsora larici-populina 98AG31 (747676)</t>
  </si>
  <si>
    <t>2018-07-09</t>
  </si>
  <si>
    <t>6Q40_1</t>
  </si>
  <si>
    <t>LysM domain-containing protein</t>
  </si>
  <si>
    <t>Zymoseptoria tritici IPO323 (336722)</t>
  </si>
  <si>
    <t>2018-12-05</t>
  </si>
  <si>
    <t>6Q76_1</t>
  </si>
  <si>
    <t>2018-12-12</t>
  </si>
  <si>
    <t>6Q76_2</t>
  </si>
  <si>
    <t>6QPK_1</t>
  </si>
  <si>
    <t>Zymoseptoria tritici ST99CH_1E4 (1276532)</t>
  </si>
  <si>
    <t>2019-02-14</t>
  </si>
  <si>
    <t>6R5J_1</t>
  </si>
  <si>
    <t>A, B[auth C]</t>
  </si>
  <si>
    <t>Magnaporthe oryzae (strain P131) (1143193)</t>
  </si>
  <si>
    <t>2019-03-25</t>
  </si>
  <si>
    <t>6SGO_1</t>
  </si>
  <si>
    <t>Melampsora larici-populina (203908)</t>
  </si>
  <si>
    <t>2019-08-05</t>
  </si>
  <si>
    <t>6WES_1</t>
  </si>
  <si>
    <t>Tox3</t>
  </si>
  <si>
    <t>Phaeosphaeria nodorum (strain SN15 / ATCC MYA-4574 / FGSC 10173) (321614)</t>
  </si>
  <si>
    <t>2020-04-02</t>
  </si>
  <si>
    <t>6ZUS_1</t>
  </si>
  <si>
    <t>Extracellular protein 11-1</t>
  </si>
  <si>
    <t>2020-07-23</t>
  </si>
  <si>
    <t>7A8X_1</t>
  </si>
  <si>
    <t>A, B, D, E</t>
  </si>
  <si>
    <t>2020-08-31</t>
  </si>
  <si>
    <t>7A8X_2</t>
  </si>
  <si>
    <t>C, F</t>
  </si>
  <si>
    <t>Magnaporthe oryzae (strain 70-15 / ATCC MYA-4617 / FGSC 8958) (242507)</t>
  </si>
  <si>
    <t>7AD5_1</t>
  </si>
  <si>
    <t>Avirulence protein LmJ1</t>
  </si>
  <si>
    <t>Leptosphaeria maculans (5022)</t>
  </si>
  <si>
    <t>2020-09-14</t>
  </si>
  <si>
    <t>7B1I_1</t>
  </si>
  <si>
    <t>OSIGBa0128P10.9 protein</t>
  </si>
  <si>
    <t>Oryza sativa (4530)</t>
  </si>
  <si>
    <t>2020-11-24</t>
  </si>
  <si>
    <t>7B1I_2</t>
  </si>
  <si>
    <t>7EAU_1</t>
  </si>
  <si>
    <t>SIN1</t>
  </si>
  <si>
    <t>Colletotrichum orbiculare (strain 104-T / ATCC 96160 / CBS 514.97 / LARS 414 / MAFF 240422) (1213857)</t>
  </si>
  <si>
    <t>2021-03-08</t>
  </si>
  <si>
    <t>7MQQ_1</t>
  </si>
  <si>
    <t>Stem rust effector protein AvrSr50</t>
  </si>
  <si>
    <t>Puccinia graminis f. sp. tritici (56615)</t>
  </si>
  <si>
    <t>2021-05-06</t>
  </si>
  <si>
    <t>7NLJ_1</t>
  </si>
  <si>
    <t>sHMA25</t>
  </si>
  <si>
    <t>Setaria italica (4555)</t>
  </si>
  <si>
    <t>2021-02-22</t>
  </si>
  <si>
    <t>7NLJ_2</t>
  </si>
  <si>
    <t>APikL2A</t>
  </si>
  <si>
    <t>Pyricularia oryzae Y34 (1143189)</t>
  </si>
  <si>
    <t>7NMM_1</t>
  </si>
  <si>
    <t>sHMAx</t>
  </si>
  <si>
    <t>2021-02-23</t>
  </si>
  <si>
    <t>7NMM_2</t>
  </si>
  <si>
    <t>I, J, K, L, M, N, O, P</t>
  </si>
  <si>
    <t>APikL2F</t>
  </si>
  <si>
    <t>Pyricularia oryzae B157 (1348879)</t>
  </si>
  <si>
    <t>7PP2_1</t>
  </si>
  <si>
    <t>Exocyst subunit Exo70 family protein</t>
  </si>
  <si>
    <t>2021-09-13</t>
  </si>
  <si>
    <t>7PP2_2</t>
  </si>
  <si>
    <t>AVR-Pii protein</t>
  </si>
  <si>
    <t>Pyricularia oryzae (318829)</t>
  </si>
  <si>
    <t>7T69_1</t>
  </si>
  <si>
    <t>Avr3 (SIX1), Secreted in xylem 1</t>
  </si>
  <si>
    <t>Fusarium oxysporum f. sp. lycopersici (59765)</t>
  </si>
  <si>
    <t>2021-12-13</t>
  </si>
  <si>
    <t>7T6A_1</t>
  </si>
  <si>
    <t>Avr1 (SIX4), Avirulence protein 1</t>
  </si>
  <si>
    <t>7T6A_2</t>
  </si>
  <si>
    <t>C, D</t>
  </si>
  <si>
    <t>Avr1 (FolSIX4), Avirulence protein 1</t>
  </si>
  <si>
    <t>7XC2_1</t>
  </si>
  <si>
    <t>A, C, E, G, I</t>
  </si>
  <si>
    <t>CNL9</t>
  </si>
  <si>
    <t>Triticum monococcum (4568)</t>
  </si>
  <si>
    <t>2022-03-22</t>
  </si>
  <si>
    <t>7XC2_2</t>
  </si>
  <si>
    <t>B, D, F, H, J</t>
  </si>
  <si>
    <t>Avirulence factor</t>
  </si>
  <si>
    <t>7XDS_1</t>
  </si>
  <si>
    <t>AvrSr35</t>
  </si>
  <si>
    <t>2022-03-28</t>
  </si>
  <si>
    <t>7XE0_1</t>
  </si>
  <si>
    <t>A, C, D[auth E], E[auth G], F[auth I]</t>
  </si>
  <si>
    <t>Sr35</t>
  </si>
  <si>
    <t>2022-03-29</t>
  </si>
  <si>
    <t>7XE0_2</t>
  </si>
  <si>
    <t>B, G[auth D], H[auth F], I[auth H], J</t>
  </si>
  <si>
    <t>7XVG_1</t>
  </si>
  <si>
    <t>2022-05-23</t>
  </si>
  <si>
    <t>7XVG_2</t>
  </si>
  <si>
    <t>7ZJY_1</t>
  </si>
  <si>
    <t>MAX effector protein</t>
  </si>
  <si>
    <t>2022-04-12</t>
  </si>
  <si>
    <t>7ZK0_1</t>
  </si>
  <si>
    <t>7ZKD_1</t>
  </si>
  <si>
    <t>8ACX_1</t>
  </si>
  <si>
    <t>Hce2 domain-containing protein</t>
  </si>
  <si>
    <t>Zymoseptoria tritici (1047171)</t>
  </si>
  <si>
    <t>2022-07-07</t>
  </si>
  <si>
    <t>8C8A_1</t>
  </si>
  <si>
    <t>But2 domain-containing protein</t>
  </si>
  <si>
    <t>Pyricularia oryzae 70-15 (242507)</t>
  </si>
  <si>
    <t>2023-01-19</t>
  </si>
  <si>
    <t>8DP8_1</t>
  </si>
  <si>
    <t>AvrM14-A</t>
  </si>
  <si>
    <t>2022-07-15</t>
  </si>
  <si>
    <t>8DP9_1</t>
  </si>
  <si>
    <t>AvrM14-B</t>
  </si>
  <si>
    <t>8EB9_1</t>
  </si>
  <si>
    <t>Secreted in xylem Six8</t>
  </si>
  <si>
    <t>2022-08-30</t>
  </si>
  <si>
    <t>8EBB_1</t>
  </si>
  <si>
    <t>Secreted in xylem Six6</t>
  </si>
  <si>
    <t>8EBB_2</t>
  </si>
  <si>
    <t>8OXH_1</t>
  </si>
  <si>
    <t>AVRA6</t>
  </si>
  <si>
    <t>Blumeria hordei (2867405)</t>
  </si>
  <si>
    <t>2023-05-02</t>
  </si>
  <si>
    <t>8OXI_1</t>
  </si>
  <si>
    <t>BgtE-5845_p</t>
  </si>
  <si>
    <t>Blumeria graminis f. sp. tritici (62690)</t>
  </si>
  <si>
    <t>8OXJ_1</t>
  </si>
  <si>
    <t>AVRA22</t>
  </si>
  <si>
    <t>8OXK_1</t>
  </si>
  <si>
    <t>CSEP0141 putative effector protein</t>
  </si>
  <si>
    <t>8OXL_1</t>
  </si>
  <si>
    <t>AVRA7</t>
  </si>
  <si>
    <t>Blumeria hordei DH14 (546991)</t>
  </si>
  <si>
    <t>8R7A_1</t>
  </si>
  <si>
    <t>Os01g0507700 protein</t>
  </si>
  <si>
    <t>2023-11-24</t>
  </si>
  <si>
    <t>8R7A_2</t>
  </si>
  <si>
    <t>Pwl2 protein</t>
  </si>
  <si>
    <t>8V1J_1</t>
  </si>
  <si>
    <t>AvrSr27</t>
  </si>
  <si>
    <t>2023-11-20</t>
  </si>
  <si>
    <t>9FEI_1</t>
  </si>
  <si>
    <t>Defoliating protein: protein D</t>
  </si>
  <si>
    <t>2024-05-20</t>
  </si>
  <si>
    <t>9FYC_1</t>
  </si>
  <si>
    <t>CC-NBS-LRR resistance protein MLA13</t>
  </si>
  <si>
    <t>Hordeum vulgare (4513)</t>
  </si>
  <si>
    <t>2024-07-03</t>
  </si>
  <si>
    <t>9FYC_2</t>
  </si>
  <si>
    <t>CSEP0372 putative effector protein</t>
  </si>
  <si>
    <t>Blumeria graminis (34373)</t>
  </si>
  <si>
    <t>HYDROLASE/HYDROLASE SUBSTRATE (non secreted)</t>
  </si>
  <si>
    <t>PDB</t>
  </si>
  <si>
    <t>Rypniewski et al. (2001)</t>
  </si>
  <si>
    <t>/</t>
  </si>
  <si>
    <t xml:space="preserve">Solution NMR </t>
  </si>
  <si>
    <t>Seong et al. (2021)</t>
  </si>
  <si>
    <t>Van’t Slot et al.(2003)</t>
  </si>
  <si>
    <t>KP4-like</t>
  </si>
  <si>
    <t>X-ray</t>
  </si>
  <si>
    <t>La Naour et al. (2025)</t>
  </si>
  <si>
    <t>Gu et al.(1995)</t>
  </si>
  <si>
    <t>ToxA-like</t>
  </si>
  <si>
    <t>Sarma et al.(2005)</t>
  </si>
  <si>
    <t>MAX</t>
  </si>
  <si>
    <t>Zhang et al.(2013)</t>
  </si>
  <si>
    <t>Nyarko et al.(2014)</t>
  </si>
  <si>
    <t xml:space="preserve">MAX </t>
  </si>
  <si>
    <t>de Guillen et al.(2015)</t>
  </si>
  <si>
    <t>Ose et al.(2015)</t>
  </si>
  <si>
    <t>Rey et al. (2016)</t>
  </si>
  <si>
    <t>Guncar et al.(2007)</t>
  </si>
  <si>
    <t>Wang et al.(2007)</t>
  </si>
  <si>
    <t>RNA BINDING PROTEIN (non secreted)</t>
  </si>
  <si>
    <t>Harding, C.J., Czekster, C.M., (2017). To be published.</t>
  </si>
  <si>
    <t>LysM</t>
  </si>
  <si>
    <t>Sanchez-Vallet et al. (2013)</t>
  </si>
  <si>
    <t>Sanchez-Vallet et al. 2013)</t>
  </si>
  <si>
    <t>SIB1-like</t>
  </si>
  <si>
    <t>Ve et al.(2013)</t>
  </si>
  <si>
    <t>LARS</t>
  </si>
  <si>
    <t>Blondeau et al.(2015)</t>
  </si>
  <si>
    <t>KP6-like</t>
  </si>
  <si>
    <t>Allen et al.(2013)</t>
  </si>
  <si>
    <t>Avr4</t>
  </si>
  <si>
    <t>Kohler et al.(2016)</t>
  </si>
  <si>
    <t>Maqbool et al.(2015)</t>
  </si>
  <si>
    <t>MoHrip2</t>
  </si>
  <si>
    <t>Liu et al.(2016)</t>
  </si>
  <si>
    <t>Wennman et al. (2016)</t>
  </si>
  <si>
    <t>Ortiz et al.(2017)</t>
  </si>
  <si>
    <t>Nostadt et al. (2020)</t>
  </si>
  <si>
    <t>Yu et al. (2024)</t>
  </si>
  <si>
    <t>Di et al. (2017)</t>
  </si>
  <si>
    <t>Zhang et al.(2018)</t>
  </si>
  <si>
    <t>PevD1-like</t>
  </si>
  <si>
    <t>Zhou et al.(2017)</t>
  </si>
  <si>
    <t>Guo et al.(2018</t>
  </si>
  <si>
    <t xml:space="preserve"> Hurlburt et al. (2018)</t>
  </si>
  <si>
    <t>RALPH</t>
  </si>
  <si>
    <t>Pennington et al.(2019)</t>
  </si>
  <si>
    <t>De la Concepcion et al.(2018)</t>
  </si>
  <si>
    <t>de Guillen et al. (2019)</t>
  </si>
  <si>
    <t>Sanchez-Vallet et al. (2020)</t>
  </si>
  <si>
    <t>Varden et al.(2019)</t>
  </si>
  <si>
    <t>de Guillen et al. (2024)</t>
  </si>
  <si>
    <t>Lahfa et al.(2023)</t>
  </si>
  <si>
    <t>MLP124017-like</t>
  </si>
  <si>
    <t>SnTox3-like</t>
  </si>
  <si>
    <t>Outram et al. (2021)</t>
  </si>
  <si>
    <t>Lazar et al.(2022)</t>
  </si>
  <si>
    <t> 2.30</t>
  </si>
  <si>
    <t>De la Concepcion et al. (2021)</t>
  </si>
  <si>
    <t>Maidment et al.(2021)</t>
  </si>
  <si>
    <t>Zhang et al.(2021)</t>
  </si>
  <si>
    <t>AvrSr50-like</t>
  </si>
  <si>
    <t>Ortiz et al.(2022</t>
  </si>
  <si>
    <t>Bentham et al.(2021)</t>
  </si>
  <si>
    <t>ZiF</t>
  </si>
  <si>
    <t>De la Concepcion et al. (2022)</t>
  </si>
  <si>
    <t>FOLD</t>
  </si>
  <si>
    <t>AvrSr35-like</t>
  </si>
  <si>
    <t>Electron microscopy</t>
  </si>
  <si>
    <t>Forderer et al.(2022</t>
  </si>
  <si>
    <t>Zhao et al.(2022)</t>
  </si>
  <si>
    <t>Zhao et al. (2022)</t>
  </si>
  <si>
    <t>AvrM14-like</t>
  </si>
  <si>
    <t>McCombe et al. (2023)</t>
  </si>
  <si>
    <t>Cao et al.(2023)</t>
  </si>
  <si>
    <t>Zdrzałek et al.(2024)</t>
  </si>
  <si>
    <t>Outram et al. (2024)</t>
  </si>
  <si>
    <t xml:space="preserve">D Effector </t>
  </si>
  <si>
    <t>Doddi et al. 2026 </t>
  </si>
  <si>
    <t>Doddi et al. (2026)</t>
  </si>
  <si>
    <t>Lawson et al.(2024)</t>
  </si>
  <si>
    <t xml:space="preserve">- I collected all their secreted magnaporthe structures in Seong &amp; Krasileva (2021) (n=9)_x000D_
- All the non-mangaporthe fungal effector structures from Seong &amp; Krasileva (2021) (n=14)_x000D_
- All secreted fusarium oxysporum effectors I found from Yu et al. (2024) (n=5)_x000D_
- I searched up two non-secreted fusarium oxysporum proteins with biological function (n=2), as a benchmark_x000D_
- The newly found effector from Doddi et al. (2026) (n=1)_x000D_
- All the fungal effectors listed in the literature review of La Naour et al. (2025) (n=49)_x000D_
_x000D_
This totals to n=80. </t>
  </si>
  <si>
    <t>TM_score</t>
  </si>
  <si>
    <t>RMSD</t>
  </si>
  <si>
    <t>Aligned_length</t>
  </si>
  <si>
    <t>Seq_ID</t>
  </si>
  <si>
    <t>ESMFold_length</t>
  </si>
  <si>
    <t>Experimental_length</t>
  </si>
  <si>
    <t>2000-08-21T00:00:00.000+00:00</t>
  </si>
  <si>
    <t>2001-11-26T00:00:00.000+00:00</t>
  </si>
  <si>
    <t>1995-06-06T00:00:00.000+00:00</t>
  </si>
  <si>
    <t>2005-05-06T00:00:00.000+00:00</t>
  </si>
  <si>
    <t>2012-07-23T00:00:00.000+00:00</t>
  </si>
  <si>
    <t>2014-03-06T00:00:00.000+00:00</t>
  </si>
  <si>
    <t>2015-01-30T00:00:00.000+00:00</t>
  </si>
  <si>
    <t>2015-05-25T00:00:00.000+00:00</t>
  </si>
  <si>
    <t>2015-06-25T00:00:00.000+00:00</t>
  </si>
  <si>
    <t>2007-01-29T00:00:00.000+00:00</t>
  </si>
  <si>
    <t>2007-08-08T00:00:00.000+00:00</t>
  </si>
  <si>
    <t>2026-05-28T00:00:00.000+00:00</t>
  </si>
  <si>
    <t>2012-08-30T00:00:00.000+00:00</t>
  </si>
  <si>
    <t>2012-09-04T00:00:00.000+00:00</t>
  </si>
  <si>
    <t>2013-04-19T00:00:00.000+00:00</t>
  </si>
  <si>
    <t>2012-06-22T00:00:00.000+00:00</t>
  </si>
  <si>
    <t>2015-04-01T00:00:00.000+00:00</t>
  </si>
  <si>
    <t>2015-07-01T00:00:00.000+00:00</t>
  </si>
  <si>
    <t>2015-12-23T00:00:00.000+00:00</t>
  </si>
  <si>
    <t>2015-11-16T00:00:00.000+00:00</t>
  </si>
  <si>
    <t>2016-04-21T00:00:00.000+00:00</t>
  </si>
  <si>
    <t>2016-08-09T00:00:00.000+00:00</t>
  </si>
  <si>
    <t>2017-07-04T00:00:00.000+00:00</t>
  </si>
  <si>
    <t>2017-04-19T00:00:00.000+00:00</t>
  </si>
  <si>
    <t>2017-05-17T00:00:00.000+00:00</t>
  </si>
  <si>
    <t>2017-12-28T00:00:00.000+00:00</t>
  </si>
  <si>
    <t>2018-04-09T00:00:00.000+00:00</t>
  </si>
  <si>
    <t>2017-11-15T00:00:00.000+00:00</t>
  </si>
  <si>
    <t>2018-01-30T00:00:00.000+00:00</t>
  </si>
  <si>
    <t>2018-02-26T00:00:00.000+00:00</t>
  </si>
  <si>
    <t>2018-03-20T00:00:00.000+00:00</t>
  </si>
  <si>
    <t>2018-07-09T00:00:00.000+00:00</t>
  </si>
  <si>
    <t>2018-12-05T00:00:00.000+00:00</t>
  </si>
  <si>
    <t>2018-12-12T00:00:00.000+00:00</t>
  </si>
  <si>
    <t>2019-02-14T00:00:00.000+00:00</t>
  </si>
  <si>
    <t>2019-03-25T00:00:00.000+00:00</t>
  </si>
  <si>
    <t>2019-08-05T00:00:00.000+00:00</t>
  </si>
  <si>
    <t>2020-04-02T00:00:00.000+00:00</t>
  </si>
  <si>
    <t>2020-07-23T00:00:00.000+00:00</t>
  </si>
  <si>
    <t>2020-08-31T00:00:00.000+00:00</t>
  </si>
  <si>
    <t>2020-09-14T00:00:00.000+00:00</t>
  </si>
  <si>
    <t>2020-11-24T00:00:00.000+00:00</t>
  </si>
  <si>
    <t>2021-03-08T00:00:00.000+00:00</t>
  </si>
  <si>
    <t>2021-05-06T00:00:00.000+00:00</t>
  </si>
  <si>
    <t>2021-02-22T00:00:00.000+00:00</t>
  </si>
  <si>
    <t>2021-02-23T00:00:00.000+00:00</t>
  </si>
  <si>
    <t>2021-09-13T00:00:00.000+00:00</t>
  </si>
  <si>
    <t>2021-12-13T00:00:00.000+00:00</t>
  </si>
  <si>
    <t>2022-03-22T00:00:00.000+00:00</t>
  </si>
  <si>
    <t>2022-03-28T00:00:00.000+00:00</t>
  </si>
  <si>
    <t>2022-03-29T00:00:00.000+00:00</t>
  </si>
  <si>
    <t>2022-05-23T00:00:00.000+00:00</t>
  </si>
  <si>
    <t>2022-04-12T00:00:00.000+00:00</t>
  </si>
  <si>
    <t>2022-07-07T00:00:00.000+00:00</t>
  </si>
  <si>
    <t>2023-01-19T00:00:00.000+00:00</t>
  </si>
  <si>
    <t>2022-07-15T00:00:00.000+00:00</t>
  </si>
  <si>
    <t>2022-08-30T00:00:00.000+00:00</t>
  </si>
  <si>
    <t>2023-05-02T00:00:00.000+00:00</t>
  </si>
  <si>
    <t>2023-11-24T00:00:00.000+00:00</t>
  </si>
  <si>
    <t>2023-11-20T00:00:00.000+00:00</t>
  </si>
  <si>
    <t>2024-05-20T00:00:00.000+00:00</t>
  </si>
  <si>
    <t>2024-07-03T00:00:00.000+00:00</t>
  </si>
  <si>
    <t>TM_score_crystal</t>
  </si>
  <si>
    <t>TM_score_esm</t>
  </si>
  <si>
    <r>
      <rPr>
        <b/>
        <sz val="12"/>
        <color theme="1"/>
        <rFont val="Aptos Narrow"/>
        <scheme val="minor"/>
      </rPr>
      <t>ESM-fold &amp; TM-align notes:</t>
    </r>
    <r>
      <rPr>
        <sz val="12"/>
        <color theme="1"/>
        <rFont val="Aptos Narrow"/>
        <scheme val="minor"/>
      </rPr>
      <t xml:space="preserve">
</t>
    </r>
    <r>
      <rPr>
        <b/>
        <sz val="12"/>
        <color theme="1"/>
        <rFont val="Aptos Narrow"/>
        <scheme val="minor"/>
      </rPr>
      <t>- Chain selection:</t>
    </r>
    <r>
      <rPr>
        <sz val="12"/>
        <color theme="1"/>
        <rFont val="Aptos Narrow"/>
        <scheme val="minor"/>
      </rPr>
      <t xml:space="preserve"> In case of multiple chains, I took the first chain (since all should be identical amino acid sequence under the same protein identity in PDB)
</t>
    </r>
    <r>
      <rPr>
        <b/>
        <sz val="12"/>
        <color theme="1"/>
        <rFont val="Aptos Narrow"/>
        <scheme val="minor"/>
      </rPr>
      <t>- Seq_ID=</t>
    </r>
    <r>
      <rPr>
        <sz val="12"/>
        <color theme="1"/>
        <rFont val="Aptos Narrow"/>
        <scheme val="minor"/>
      </rPr>
      <t xml:space="preserve"> % of exact amino acid matches relative to the total number of aligned residues. The higher the better.
</t>
    </r>
    <r>
      <rPr>
        <b/>
        <sz val="12"/>
        <color theme="1"/>
        <rFont val="Aptos Narrow"/>
        <scheme val="minor"/>
      </rPr>
      <t xml:space="preserve">- TM-score: </t>
    </r>
    <r>
      <rPr>
        <sz val="12"/>
        <color theme="1"/>
        <rFont val="Aptos Narrow"/>
        <scheme val="minor"/>
      </rPr>
      <t xml:space="preserve">normalized by crystal structure and ESM prediction
</t>
    </r>
    <r>
      <rPr>
        <b/>
        <sz val="12"/>
        <color theme="1"/>
        <rFont val="Aptos Narrow"/>
        <scheme val="minor"/>
      </rPr>
      <t>- Lengths (# residues):</t>
    </r>
    <r>
      <rPr>
        <sz val="12"/>
        <color theme="1"/>
        <rFont val="Aptos Narrow"/>
        <scheme val="minor"/>
      </rPr>
      <t xml:space="preserve"> There is a difference between ESM fold residue length and experimentally resolved, this has implications for TM-align. In the experimentally resolved structures, not all atom coordinates are resolved, while TM-align bases the alignment quality on atom coordinates.
</t>
    </r>
    <r>
      <rPr>
        <b/>
        <sz val="12"/>
        <color theme="1"/>
        <rFont val="Aptos Narrow"/>
        <scheme val="minor"/>
      </rPr>
      <t>- Coverage =</t>
    </r>
    <r>
      <rPr>
        <sz val="12"/>
        <color theme="1"/>
        <rFont val="Aptos Narrow"/>
        <scheme val="minor"/>
      </rPr>
      <t xml:space="preserve"> the ratio of experimental length / ESM-fold length. Higher coverage means more atom coordinates were experimentally resolved. Higher is better.
- There are 3 unaligned structures. Will look into this further.
If we take a coverage of at least 90%, we are left with 47 experimentally well-resolved structures</t>
    </r>
    <r>
      <rPr>
        <b/>
        <sz val="12"/>
        <color theme="9"/>
        <rFont val="Aptos Narrow (Body)"/>
      </rPr>
      <t xml:space="preserve"> (in green).</t>
    </r>
  </si>
  <si>
    <t>TM_score_crystal_x</t>
  </si>
  <si>
    <t>RMSD_x</t>
  </si>
  <si>
    <t>Aligned_length_x</t>
  </si>
  <si>
    <t>Seq_ID_x</t>
  </si>
  <si>
    <t>Experimental_length_x</t>
  </si>
  <si>
    <t>TM_score_crystal_y</t>
  </si>
  <si>
    <t>TM_score_AF2</t>
  </si>
  <si>
    <t>RMSD_y</t>
  </si>
  <si>
    <t>Aligned_length_y</t>
  </si>
  <si>
    <t>Seq_ID_y</t>
  </si>
  <si>
    <t>AF2_length</t>
  </si>
  <si>
    <t>Experimental_length_y</t>
  </si>
  <si>
    <t>AF2_TM_score_AF2</t>
  </si>
  <si>
    <t>ESM_TM</t>
  </si>
  <si>
    <t>AF2_TM</t>
  </si>
  <si>
    <t>ID</t>
  </si>
  <si>
    <t>PDB_ID_2</t>
  </si>
  <si>
    <t>ESMFold_length_x</t>
  </si>
  <si>
    <t>TM_score_AF3</t>
  </si>
  <si>
    <t>ESMFold_length_y</t>
  </si>
  <si>
    <t>ESM</t>
  </si>
  <si>
    <t>AF2</t>
  </si>
  <si>
    <t>AF3</t>
  </si>
  <si>
    <t>TM_score_crystal2</t>
  </si>
  <si>
    <t>TM_score_predicted</t>
  </si>
  <si>
    <t>Predicted_length</t>
  </si>
  <si>
    <t>TM_score_crystal3</t>
  </si>
  <si>
    <t>TM_score_predicted4</t>
  </si>
  <si>
    <t>RMSD5</t>
  </si>
  <si>
    <t>Aligned_length6</t>
  </si>
  <si>
    <t>Seq_ID7</t>
  </si>
  <si>
    <t>Predicted_length8</t>
  </si>
  <si>
    <t>Experimental_length9</t>
  </si>
  <si>
    <t>TM_score_predicted3</t>
  </si>
  <si>
    <t>RMSD4</t>
  </si>
  <si>
    <t>Aligned_length5</t>
  </si>
  <si>
    <t>Seq_ID6</t>
  </si>
  <si>
    <t>Predicted_length7</t>
  </si>
  <si>
    <t>Experimental_length8</t>
  </si>
  <si>
    <t>Coverage</t>
  </si>
  <si>
    <t>Coverage2</t>
  </si>
  <si>
    <t>Coverage3</t>
  </si>
  <si>
    <r>
      <rPr>
        <b/>
        <sz val="12"/>
        <color theme="1"/>
        <rFont val="Aptos Narrow"/>
        <scheme val="minor"/>
      </rPr>
      <t>ESM-fold &amp; TM-align notes:</t>
    </r>
    <r>
      <rPr>
        <sz val="12"/>
        <color theme="1"/>
        <rFont val="Aptos Narrow"/>
        <scheme val="minor"/>
      </rPr>
      <t xml:space="preserve">
</t>
    </r>
    <r>
      <rPr>
        <b/>
        <sz val="12"/>
        <color theme="1"/>
        <rFont val="Aptos Narrow"/>
        <scheme val="minor"/>
      </rPr>
      <t>- Chain selection:</t>
    </r>
    <r>
      <rPr>
        <sz val="12"/>
        <color theme="1"/>
        <rFont val="Aptos Narrow"/>
        <scheme val="minor"/>
      </rPr>
      <t xml:space="preserve"> In case of multiple chains, I took the first chain (since all should be identical amino acid sequence under the same protein identity in PDB)
</t>
    </r>
    <r>
      <rPr>
        <b/>
        <sz val="12"/>
        <color theme="1"/>
        <rFont val="Aptos Narrow"/>
        <scheme val="minor"/>
      </rPr>
      <t>- Seq_ID=</t>
    </r>
    <r>
      <rPr>
        <sz val="12"/>
        <color theme="1"/>
        <rFont val="Aptos Narrow"/>
        <scheme val="minor"/>
      </rPr>
      <t xml:space="preserve"> % of exact amino acid matches relative to the total number of aligned residues. The higher the better.
</t>
    </r>
    <r>
      <rPr>
        <b/>
        <sz val="12"/>
        <color theme="1"/>
        <rFont val="Aptos Narrow"/>
        <scheme val="minor"/>
      </rPr>
      <t xml:space="preserve">- TM-score: </t>
    </r>
    <r>
      <rPr>
        <sz val="12"/>
        <color theme="1"/>
        <rFont val="Aptos Narrow"/>
        <scheme val="minor"/>
      </rPr>
      <t xml:space="preserve">normalized by crystal structure and ESM prediction
</t>
    </r>
    <r>
      <rPr>
        <b/>
        <sz val="12"/>
        <color theme="1"/>
        <rFont val="Aptos Narrow"/>
        <scheme val="minor"/>
      </rPr>
      <t>- Lengths (# residues):</t>
    </r>
    <r>
      <rPr>
        <sz val="12"/>
        <color theme="1"/>
        <rFont val="Aptos Narrow"/>
        <scheme val="minor"/>
      </rPr>
      <t xml:space="preserve"> There is a difference between ESM fold residue length and experimentally resolved, this has implications for TM-align. In the experimentally resolved structures, not all atom coordinates are resolved, while TM-align bases the alignment quality on atom coordinates.
</t>
    </r>
    <r>
      <rPr>
        <b/>
        <sz val="12"/>
        <color theme="1"/>
        <rFont val="Aptos Narrow"/>
        <scheme val="minor"/>
      </rPr>
      <t>- Coverage =</t>
    </r>
    <r>
      <rPr>
        <sz val="12"/>
        <color theme="1"/>
        <rFont val="Aptos Narrow"/>
        <scheme val="minor"/>
      </rPr>
      <t xml:space="preserve"> the ratio of experimental length / ESM-fold length. Higher coverage means more atom coordinates were experimentally resolved. Higher is better.
- There are 3 unaligned structures. Will look into this further.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</si>
</sst>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9"/>
      <name val="Aptos Narrow (Body)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 applyAlignment="1">
      <alignment horizontal="left" vertical="center" wrapText="1"/>
    </xf>
    <xf numFmtId="0" fontId="4" fillId="5" borderId="1" xfId="0" applyFont="1" applyFill="1" applyBorder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4" borderId="1" xfId="0" applyFill="1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 vertical="top" wrapText="1"/>
    </xf>
    <xf numFmtId="0" fontId="0" fillId="6" borderId="6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Fill="1"/>
  </cellXfs>
  <cellStyles count="1">
    <cellStyle name="Normal" xfId="0" builtinId="0"/>
  </cellStyles>
  <dxfs count="73"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numFmt numFmtId="165" formatCode="0.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TM_score_crystal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Sheet4!$C$3:$C$81</c:f>
              <c:numCache>
                <c:formatCode>General</c:formatCode>
                <c:ptCount val="79"/>
                <c:pt idx="0">
                  <c:v>0.92156000000000005</c:v>
                </c:pt>
                <c:pt idx="1">
                  <c:v>0.99351</c:v>
                </c:pt>
                <c:pt idx="2">
                  <c:v>0.93700000000000006</c:v>
                </c:pt>
                <c:pt idx="3">
                  <c:v>0.97702</c:v>
                </c:pt>
                <c:pt idx="4">
                  <c:v>0.95564000000000004</c:v>
                </c:pt>
                <c:pt idx="5">
                  <c:v>0.78280000000000005</c:v>
                </c:pt>
                <c:pt idx="6">
                  <c:v>0.83352999999999999</c:v>
                </c:pt>
                <c:pt idx="7">
                  <c:v>0.88407999999999998</c:v>
                </c:pt>
                <c:pt idx="8">
                  <c:v>0.78783999999999998</c:v>
                </c:pt>
                <c:pt idx="9">
                  <c:v>0.62495000000000001</c:v>
                </c:pt>
                <c:pt idx="10">
                  <c:v>0.89207999999999998</c:v>
                </c:pt>
                <c:pt idx="11">
                  <c:v>0.89905999999999997</c:v>
                </c:pt>
                <c:pt idx="12">
                  <c:v>0.79278999999999999</c:v>
                </c:pt>
                <c:pt idx="13">
                  <c:v>0.42210999999999999</c:v>
                </c:pt>
                <c:pt idx="14">
                  <c:v>0.93394999999999995</c:v>
                </c:pt>
                <c:pt idx="15">
                  <c:v>0.36558000000000002</c:v>
                </c:pt>
                <c:pt idx="16">
                  <c:v>0.89117999999999997</c:v>
                </c:pt>
                <c:pt idx="17">
                  <c:v>0.90546000000000004</c:v>
                </c:pt>
                <c:pt idx="18">
                  <c:v>0.86395</c:v>
                </c:pt>
                <c:pt idx="19">
                  <c:v>0.36764000000000002</c:v>
                </c:pt>
                <c:pt idx="20">
                  <c:v>0.98340000000000005</c:v>
                </c:pt>
                <c:pt idx="21">
                  <c:v>0.88719000000000003</c:v>
                </c:pt>
                <c:pt idx="22">
                  <c:v>0.95867000000000002</c:v>
                </c:pt>
                <c:pt idx="23">
                  <c:v>0.95804999999999996</c:v>
                </c:pt>
                <c:pt idx="24">
                  <c:v>0.37217</c:v>
                </c:pt>
                <c:pt idx="25">
                  <c:v>0.31834000000000001</c:v>
                </c:pt>
                <c:pt idx="26">
                  <c:v>0.89490999999999998</c:v>
                </c:pt>
                <c:pt idx="27">
                  <c:v>0.96958</c:v>
                </c:pt>
                <c:pt idx="28">
                  <c:v>0.69479999999999997</c:v>
                </c:pt>
                <c:pt idx="29">
                  <c:v>0.90851999999999999</c:v>
                </c:pt>
                <c:pt idx="30">
                  <c:v>0.99019000000000001</c:v>
                </c:pt>
                <c:pt idx="31">
                  <c:v>0.87892000000000003</c:v>
                </c:pt>
                <c:pt idx="32">
                  <c:v>0.73053999999999997</c:v>
                </c:pt>
                <c:pt idx="33">
                  <c:v>0.99121000000000004</c:v>
                </c:pt>
                <c:pt idx="34">
                  <c:v>0.65810999999999997</c:v>
                </c:pt>
                <c:pt idx="35">
                  <c:v>0.68037000000000003</c:v>
                </c:pt>
                <c:pt idx="36">
                  <c:v>0.97763999999999995</c:v>
                </c:pt>
                <c:pt idx="37">
                  <c:v>0</c:v>
                </c:pt>
                <c:pt idx="38">
                  <c:v>0.62868999999999997</c:v>
                </c:pt>
                <c:pt idx="39">
                  <c:v>0.99666999999999994</c:v>
                </c:pt>
                <c:pt idx="40">
                  <c:v>0.58387</c:v>
                </c:pt>
                <c:pt idx="41">
                  <c:v>0.79247999999999996</c:v>
                </c:pt>
                <c:pt idx="42">
                  <c:v>0.52569999999999995</c:v>
                </c:pt>
                <c:pt idx="43">
                  <c:v>0.94277</c:v>
                </c:pt>
                <c:pt idx="44">
                  <c:v>0.92051000000000005</c:v>
                </c:pt>
                <c:pt idx="45">
                  <c:v>0.97443000000000002</c:v>
                </c:pt>
                <c:pt idx="46">
                  <c:v>0.96877000000000002</c:v>
                </c:pt>
                <c:pt idx="47">
                  <c:v>0.96275999999999995</c:v>
                </c:pt>
                <c:pt idx="48">
                  <c:v>0.96606000000000003</c:v>
                </c:pt>
                <c:pt idx="49">
                  <c:v>0.96592</c:v>
                </c:pt>
                <c:pt idx="50">
                  <c:v>0.91683999999999999</c:v>
                </c:pt>
                <c:pt idx="51">
                  <c:v>0.99168999999999996</c:v>
                </c:pt>
                <c:pt idx="52">
                  <c:v>0.87253000000000003</c:v>
                </c:pt>
                <c:pt idx="53">
                  <c:v>0.75978000000000001</c:v>
                </c:pt>
                <c:pt idx="54">
                  <c:v>0.97591000000000006</c:v>
                </c:pt>
                <c:pt idx="55">
                  <c:v>0.98619000000000001</c:v>
                </c:pt>
                <c:pt idx="56">
                  <c:v>0.98187000000000002</c:v>
                </c:pt>
                <c:pt idx="57">
                  <c:v>0.91452</c:v>
                </c:pt>
                <c:pt idx="58">
                  <c:v>0.46226</c:v>
                </c:pt>
                <c:pt idx="59">
                  <c:v>0.98050999999999999</c:v>
                </c:pt>
                <c:pt idx="60">
                  <c:v>0.98724999999999996</c:v>
                </c:pt>
                <c:pt idx="61">
                  <c:v>0.75146000000000002</c:v>
                </c:pt>
                <c:pt idx="62">
                  <c:v>0.77010000000000001</c:v>
                </c:pt>
                <c:pt idx="63">
                  <c:v>0.72843000000000002</c:v>
                </c:pt>
                <c:pt idx="64">
                  <c:v>0.91274</c:v>
                </c:pt>
                <c:pt idx="65">
                  <c:v>0.98821000000000003</c:v>
                </c:pt>
                <c:pt idx="66">
                  <c:v>0.96394999999999997</c:v>
                </c:pt>
                <c:pt idx="67">
                  <c:v>0.95801999999999998</c:v>
                </c:pt>
                <c:pt idx="68">
                  <c:v>0.94513000000000003</c:v>
                </c:pt>
                <c:pt idx="69">
                  <c:v>0.53358000000000005</c:v>
                </c:pt>
                <c:pt idx="70">
                  <c:v>0.66342000000000001</c:v>
                </c:pt>
                <c:pt idx="71">
                  <c:v>0.97114999999999996</c:v>
                </c:pt>
                <c:pt idx="72">
                  <c:v>0.98836000000000002</c:v>
                </c:pt>
                <c:pt idx="73">
                  <c:v>0.98528000000000004</c:v>
                </c:pt>
                <c:pt idx="74">
                  <c:v>0.90281</c:v>
                </c:pt>
                <c:pt idx="75">
                  <c:v>0.93171000000000004</c:v>
                </c:pt>
                <c:pt idx="76">
                  <c:v>0.97214</c:v>
                </c:pt>
                <c:pt idx="77">
                  <c:v>0.58237000000000005</c:v>
                </c:pt>
                <c:pt idx="78">
                  <c:v>0.60834999999999995</c:v>
                </c:pt>
              </c:numCache>
            </c:numRef>
          </c:xVal>
          <c:yVal>
            <c:numRef>
              <c:f>Sheet4!$B$3:$B$81</c:f>
              <c:numCache>
                <c:formatCode>General</c:formatCode>
                <c:ptCount val="79"/>
                <c:pt idx="0">
                  <c:v>0</c:v>
                </c:pt>
                <c:pt idx="1">
                  <c:v>0.99131000000000002</c:v>
                </c:pt>
                <c:pt idx="2">
                  <c:v>0.96206999999999998</c:v>
                </c:pt>
                <c:pt idx="3">
                  <c:v>0.96011999999999997</c:v>
                </c:pt>
                <c:pt idx="4">
                  <c:v>0.82730000000000004</c:v>
                </c:pt>
                <c:pt idx="5">
                  <c:v>0.77305999999999997</c:v>
                </c:pt>
                <c:pt idx="6">
                  <c:v>0.75200999999999996</c:v>
                </c:pt>
                <c:pt idx="7">
                  <c:v>0.73097000000000001</c:v>
                </c:pt>
                <c:pt idx="8">
                  <c:v>0.61499999999999999</c:v>
                </c:pt>
                <c:pt idx="9">
                  <c:v>0.57696000000000003</c:v>
                </c:pt>
                <c:pt idx="10">
                  <c:v>0.48946000000000001</c:v>
                </c:pt>
                <c:pt idx="11">
                  <c:v>0.46666999999999997</c:v>
                </c:pt>
                <c:pt idx="12">
                  <c:v>0.45683000000000001</c:v>
                </c:pt>
                <c:pt idx="13">
                  <c:v>0.3659</c:v>
                </c:pt>
                <c:pt idx="14">
                  <c:v>0.36121999999999999</c:v>
                </c:pt>
                <c:pt idx="15">
                  <c:v>0.35813</c:v>
                </c:pt>
                <c:pt idx="16">
                  <c:v>0.34483000000000003</c:v>
                </c:pt>
                <c:pt idx="17">
                  <c:v>0.30736000000000002</c:v>
                </c:pt>
                <c:pt idx="18">
                  <c:v>0.30260999999999999</c:v>
                </c:pt>
                <c:pt idx="19">
                  <c:v>0.30002000000000001</c:v>
                </c:pt>
                <c:pt idx="20">
                  <c:v>0.37218000000000001</c:v>
                </c:pt>
                <c:pt idx="21">
                  <c:v>0.48585</c:v>
                </c:pt>
                <c:pt idx="22">
                  <c:v>0.67791000000000001</c:v>
                </c:pt>
                <c:pt idx="23">
                  <c:v>0.67706999999999995</c:v>
                </c:pt>
                <c:pt idx="24">
                  <c:v>0.28098000000000001</c:v>
                </c:pt>
                <c:pt idx="25">
                  <c:v>0.28622999999999998</c:v>
                </c:pt>
                <c:pt idx="26">
                  <c:v>0.88753000000000004</c:v>
                </c:pt>
                <c:pt idx="27">
                  <c:v>0.94608999999999999</c:v>
                </c:pt>
                <c:pt idx="28">
                  <c:v>0.48496</c:v>
                </c:pt>
                <c:pt idx="29">
                  <c:v>0.35893999999999998</c:v>
                </c:pt>
                <c:pt idx="30">
                  <c:v>0.94089</c:v>
                </c:pt>
                <c:pt idx="31">
                  <c:v>0.84596000000000005</c:v>
                </c:pt>
                <c:pt idx="32">
                  <c:v>0.79468000000000005</c:v>
                </c:pt>
                <c:pt idx="33">
                  <c:v>0.36696000000000001</c:v>
                </c:pt>
                <c:pt idx="34">
                  <c:v>0.34650999999999998</c:v>
                </c:pt>
                <c:pt idx="35">
                  <c:v>0.31375999999999998</c:v>
                </c:pt>
                <c:pt idx="36">
                  <c:v>0.30623</c:v>
                </c:pt>
                <c:pt idx="37">
                  <c:v>0.41221000000000002</c:v>
                </c:pt>
                <c:pt idx="38">
                  <c:v>0.71560999999999997</c:v>
                </c:pt>
                <c:pt idx="39">
                  <c:v>0.91459000000000001</c:v>
                </c:pt>
                <c:pt idx="40">
                  <c:v>0.66251000000000004</c:v>
                </c:pt>
                <c:pt idx="41">
                  <c:v>0.26844000000000001</c:v>
                </c:pt>
                <c:pt idx="42">
                  <c:v>0.86446999999999996</c:v>
                </c:pt>
                <c:pt idx="43">
                  <c:v>0.82735000000000003</c:v>
                </c:pt>
                <c:pt idx="44">
                  <c:v>0.42662</c:v>
                </c:pt>
                <c:pt idx="45">
                  <c:v>0.28986000000000001</c:v>
                </c:pt>
                <c:pt idx="46">
                  <c:v>0.83818000000000004</c:v>
                </c:pt>
                <c:pt idx="47">
                  <c:v>0.74760000000000004</c:v>
                </c:pt>
                <c:pt idx="48">
                  <c:v>0.73897999999999997</c:v>
                </c:pt>
                <c:pt idx="49">
                  <c:v>0.73706000000000005</c:v>
                </c:pt>
                <c:pt idx="50">
                  <c:v>0.80327000000000004</c:v>
                </c:pt>
                <c:pt idx="51">
                  <c:v>0.75183</c:v>
                </c:pt>
                <c:pt idx="52">
                  <c:v>0.31384000000000001</c:v>
                </c:pt>
                <c:pt idx="53">
                  <c:v>0.50429999999999997</c:v>
                </c:pt>
                <c:pt idx="54">
                  <c:v>0.47804999999999997</c:v>
                </c:pt>
                <c:pt idx="55">
                  <c:v>0.47665000000000002</c:v>
                </c:pt>
                <c:pt idx="56">
                  <c:v>0.38696999999999998</c:v>
                </c:pt>
                <c:pt idx="57">
                  <c:v>0.38114999999999999</c:v>
                </c:pt>
                <c:pt idx="58">
                  <c:v>0.20608000000000001</c:v>
                </c:pt>
                <c:pt idx="59">
                  <c:v>0.66752999999999996</c:v>
                </c:pt>
                <c:pt idx="60">
                  <c:v>0.66747999999999996</c:v>
                </c:pt>
                <c:pt idx="61">
                  <c:v>0.5675</c:v>
                </c:pt>
                <c:pt idx="62">
                  <c:v>0.47844999999999999</c:v>
                </c:pt>
                <c:pt idx="63">
                  <c:v>0.24790999999999999</c:v>
                </c:pt>
                <c:pt idx="64">
                  <c:v>0.50146999999999997</c:v>
                </c:pt>
                <c:pt idx="65">
                  <c:v>0.25747999999999999</c:v>
                </c:pt>
                <c:pt idx="66">
                  <c:v>0.73416999999999999</c:v>
                </c:pt>
                <c:pt idx="67">
                  <c:v>0.27176</c:v>
                </c:pt>
                <c:pt idx="68">
                  <c:v>0.74278999999999995</c:v>
                </c:pt>
                <c:pt idx="69">
                  <c:v>0.23483000000000001</c:v>
                </c:pt>
                <c:pt idx="70">
                  <c:v>0.42888999999999999</c:v>
                </c:pt>
                <c:pt idx="71">
                  <c:v>0.74897999999999998</c:v>
                </c:pt>
                <c:pt idx="72">
                  <c:v>0.22026000000000001</c:v>
                </c:pt>
                <c:pt idx="73">
                  <c:v>0.28982000000000002</c:v>
                </c:pt>
                <c:pt idx="74">
                  <c:v>0.54527999999999999</c:v>
                </c:pt>
                <c:pt idx="75">
                  <c:v>0.52022000000000002</c:v>
                </c:pt>
                <c:pt idx="76">
                  <c:v>0.59402999999999995</c:v>
                </c:pt>
                <c:pt idx="77">
                  <c:v>0.42716999999999999</c:v>
                </c:pt>
                <c:pt idx="78">
                  <c:v>0.42559000000000002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D-1C4D-873C-E131E409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882111"/>
        <c:axId val="568883823"/>
      </c:scatterChart>
      <c:valAx>
        <c:axId val="5688821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68883823"/>
        <c:crosses val="autoZero"/>
        <c:crossBetween val="midCat"/>
      </c:valAx>
      <c:valAx>
        <c:axId val="5688838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6888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Sheet2!$D$5</c:f>
              <c:strCache>
                <c:ptCount val="1"/>
                <c:pt idx="0">
                  <c:v>AF2_TM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Sheet2!$D$6:$D$84</c:f>
              <c:numCache>
                <c:formatCode>General</c:formatCode>
                <c:ptCount val="79"/>
                <c:pt idx="0">
                  <c:v>0.74863999999999997</c:v>
                </c:pt>
                <c:pt idx="1">
                  <c:v>0.99351</c:v>
                </c:pt>
                <c:pt idx="2">
                  <c:v>0.93700000000000006</c:v>
                </c:pt>
                <c:pt idx="3">
                  <c:v>0.97702</c:v>
                </c:pt>
                <c:pt idx="4">
                  <c:v>0.95564000000000004</c:v>
                </c:pt>
                <c:pt idx="5">
                  <c:v>0.78280000000000005</c:v>
                </c:pt>
                <c:pt idx="6">
                  <c:v>0.83352999999999999</c:v>
                </c:pt>
                <c:pt idx="7">
                  <c:v>0.88407999999999998</c:v>
                </c:pt>
                <c:pt idx="8">
                  <c:v>0.78783999999999998</c:v>
                </c:pt>
                <c:pt idx="9">
                  <c:v>0.62495000000000001</c:v>
                </c:pt>
                <c:pt idx="10">
                  <c:v>0.89207999999999998</c:v>
                </c:pt>
                <c:pt idx="11">
                  <c:v>0.89905999999999997</c:v>
                </c:pt>
                <c:pt idx="12">
                  <c:v>0.79278999999999999</c:v>
                </c:pt>
                <c:pt idx="13">
                  <c:v>0.42210999999999999</c:v>
                </c:pt>
                <c:pt idx="14">
                  <c:v>0.93394999999999995</c:v>
                </c:pt>
                <c:pt idx="15">
                  <c:v>0.36558000000000002</c:v>
                </c:pt>
                <c:pt idx="16">
                  <c:v>0.89117999999999997</c:v>
                </c:pt>
                <c:pt idx="17">
                  <c:v>0.90546000000000004</c:v>
                </c:pt>
                <c:pt idx="18">
                  <c:v>0.86395</c:v>
                </c:pt>
                <c:pt idx="19">
                  <c:v>0.36764000000000002</c:v>
                </c:pt>
                <c:pt idx="20">
                  <c:v>0.97770000000000001</c:v>
                </c:pt>
                <c:pt idx="21">
                  <c:v>0.88153999999999999</c:v>
                </c:pt>
                <c:pt idx="22">
                  <c:v>0.95140000000000002</c:v>
                </c:pt>
                <c:pt idx="23">
                  <c:v>0.95079000000000002</c:v>
                </c:pt>
                <c:pt idx="24">
                  <c:v>0.37010999999999999</c:v>
                </c:pt>
                <c:pt idx="25">
                  <c:v>0.31646000000000002</c:v>
                </c:pt>
                <c:pt idx="26">
                  <c:v>0.88629999999999998</c:v>
                </c:pt>
                <c:pt idx="27">
                  <c:v>0.95587999999999995</c:v>
                </c:pt>
                <c:pt idx="28">
                  <c:v>0.68618000000000001</c:v>
                </c:pt>
                <c:pt idx="29">
                  <c:v>0.89009000000000005</c:v>
                </c:pt>
                <c:pt idx="30">
                  <c:v>0.96157000000000004</c:v>
                </c:pt>
                <c:pt idx="31">
                  <c:v>0.85360999999999998</c:v>
                </c:pt>
                <c:pt idx="32">
                  <c:v>0.70767000000000002</c:v>
                </c:pt>
                <c:pt idx="33">
                  <c:v>0.95443</c:v>
                </c:pt>
                <c:pt idx="34">
                  <c:v>0.63702000000000003</c:v>
                </c:pt>
                <c:pt idx="35">
                  <c:v>0.65578999999999998</c:v>
                </c:pt>
                <c:pt idx="36">
                  <c:v>0.93752000000000002</c:v>
                </c:pt>
                <c:pt idx="37">
                  <c:v>0</c:v>
                </c:pt>
                <c:pt idx="38">
                  <c:v>0.60185</c:v>
                </c:pt>
                <c:pt idx="39">
                  <c:v>0.93586999999999998</c:v>
                </c:pt>
                <c:pt idx="40">
                  <c:v>0.55489999999999995</c:v>
                </c:pt>
                <c:pt idx="41">
                  <c:v>0.74892000000000003</c:v>
                </c:pt>
                <c:pt idx="42">
                  <c:v>0.49752000000000002</c:v>
                </c:pt>
                <c:pt idx="43">
                  <c:v>0.86389000000000005</c:v>
                </c:pt>
                <c:pt idx="44">
                  <c:v>0.84252000000000005</c:v>
                </c:pt>
                <c:pt idx="45">
                  <c:v>0.88400000000000001</c:v>
                </c:pt>
                <c:pt idx="46">
                  <c:v>0.87783</c:v>
                </c:pt>
                <c:pt idx="47">
                  <c:v>0.87107000000000001</c:v>
                </c:pt>
                <c:pt idx="48">
                  <c:v>0.86482000000000003</c:v>
                </c:pt>
                <c:pt idx="49">
                  <c:v>0.86502000000000001</c:v>
                </c:pt>
                <c:pt idx="50">
                  <c:v>0.80732000000000004</c:v>
                </c:pt>
                <c:pt idx="51">
                  <c:v>0.86482999999999999</c:v>
                </c:pt>
                <c:pt idx="52">
                  <c:v>0.87253000000000003</c:v>
                </c:pt>
                <c:pt idx="53">
                  <c:v>0.67095000000000005</c:v>
                </c:pt>
                <c:pt idx="54">
                  <c:v>0.84504999999999997</c:v>
                </c:pt>
                <c:pt idx="55">
                  <c:v>0.85414999999999996</c:v>
                </c:pt>
                <c:pt idx="56">
                  <c:v>0.84718000000000004</c:v>
                </c:pt>
                <c:pt idx="57">
                  <c:v>0.79276000000000002</c:v>
                </c:pt>
                <c:pt idx="58">
                  <c:v>0.40927000000000002</c:v>
                </c:pt>
                <c:pt idx="59">
                  <c:v>0.81535000000000002</c:v>
                </c:pt>
                <c:pt idx="60">
                  <c:v>0.82006999999999997</c:v>
                </c:pt>
                <c:pt idx="61">
                  <c:v>0.62231000000000003</c:v>
                </c:pt>
                <c:pt idx="62">
                  <c:v>0.63634000000000002</c:v>
                </c:pt>
                <c:pt idx="63">
                  <c:v>0.59770999999999996</c:v>
                </c:pt>
                <c:pt idx="64">
                  <c:v>0.74292000000000002</c:v>
                </c:pt>
                <c:pt idx="65">
                  <c:v>0.85321000000000002</c:v>
                </c:pt>
                <c:pt idx="66">
                  <c:v>0.76275000000000004</c:v>
                </c:pt>
                <c:pt idx="67">
                  <c:v>0.75583</c:v>
                </c:pt>
                <c:pt idx="68">
                  <c:v>0.74214000000000002</c:v>
                </c:pt>
                <c:pt idx="69">
                  <c:v>0.42877999999999999</c:v>
                </c:pt>
                <c:pt idx="70">
                  <c:v>0.52981999999999996</c:v>
                </c:pt>
                <c:pt idx="71">
                  <c:v>0.73811000000000004</c:v>
                </c:pt>
                <c:pt idx="72">
                  <c:v>0.74663000000000002</c:v>
                </c:pt>
                <c:pt idx="73">
                  <c:v>0.87056</c:v>
                </c:pt>
                <c:pt idx="74">
                  <c:v>0.63166</c:v>
                </c:pt>
                <c:pt idx="75">
                  <c:v>0.59677000000000002</c:v>
                </c:pt>
                <c:pt idx="76">
                  <c:v>0.60172000000000003</c:v>
                </c:pt>
                <c:pt idx="77">
                  <c:v>0.37636999999999998</c:v>
                </c:pt>
                <c:pt idx="78">
                  <c:v>0.37863000000000002</c:v>
                </c:pt>
              </c:numCache>
            </c:numRef>
          </c:xVal>
          <c:yVal>
            <c:numRef>
              <c:f>Sheet2!$C$6:$C$84</c:f>
              <c:numCache>
                <c:formatCode>General</c:formatCode>
                <c:ptCount val="79"/>
                <c:pt idx="0">
                  <c:v>0</c:v>
                </c:pt>
                <c:pt idx="1">
                  <c:v>0.99131000000000002</c:v>
                </c:pt>
                <c:pt idx="2">
                  <c:v>0.96206999999999998</c:v>
                </c:pt>
                <c:pt idx="3">
                  <c:v>0.96011999999999997</c:v>
                </c:pt>
                <c:pt idx="4">
                  <c:v>0.82730000000000004</c:v>
                </c:pt>
                <c:pt idx="5">
                  <c:v>0.77305999999999997</c:v>
                </c:pt>
                <c:pt idx="6">
                  <c:v>0.75200999999999996</c:v>
                </c:pt>
                <c:pt idx="7">
                  <c:v>0.73097000000000001</c:v>
                </c:pt>
                <c:pt idx="8">
                  <c:v>0.61499999999999999</c:v>
                </c:pt>
                <c:pt idx="9">
                  <c:v>0.57696000000000003</c:v>
                </c:pt>
                <c:pt idx="10">
                  <c:v>0.48946000000000001</c:v>
                </c:pt>
                <c:pt idx="11">
                  <c:v>0.46666999999999997</c:v>
                </c:pt>
                <c:pt idx="12">
                  <c:v>0.45683000000000001</c:v>
                </c:pt>
                <c:pt idx="13">
                  <c:v>0.3659</c:v>
                </c:pt>
                <c:pt idx="14">
                  <c:v>0.36121999999999999</c:v>
                </c:pt>
                <c:pt idx="15">
                  <c:v>0.35813</c:v>
                </c:pt>
                <c:pt idx="16">
                  <c:v>0.34483000000000003</c:v>
                </c:pt>
                <c:pt idx="17">
                  <c:v>0.30736000000000002</c:v>
                </c:pt>
                <c:pt idx="18">
                  <c:v>0.30260999999999999</c:v>
                </c:pt>
                <c:pt idx="19">
                  <c:v>0.30002000000000001</c:v>
                </c:pt>
                <c:pt idx="20">
                  <c:v>0.37218000000000001</c:v>
                </c:pt>
                <c:pt idx="21">
                  <c:v>0.48585</c:v>
                </c:pt>
                <c:pt idx="22">
                  <c:v>0.67791000000000001</c:v>
                </c:pt>
                <c:pt idx="23">
                  <c:v>0.67706999999999995</c:v>
                </c:pt>
                <c:pt idx="24">
                  <c:v>0.28098000000000001</c:v>
                </c:pt>
                <c:pt idx="25">
                  <c:v>0.28622999999999998</c:v>
                </c:pt>
                <c:pt idx="26">
                  <c:v>0.88753000000000004</c:v>
                </c:pt>
                <c:pt idx="27">
                  <c:v>0.94608999999999999</c:v>
                </c:pt>
                <c:pt idx="28">
                  <c:v>0.48496</c:v>
                </c:pt>
                <c:pt idx="29">
                  <c:v>0.35893999999999998</c:v>
                </c:pt>
                <c:pt idx="30">
                  <c:v>0.94089</c:v>
                </c:pt>
                <c:pt idx="31">
                  <c:v>0.84596000000000005</c:v>
                </c:pt>
                <c:pt idx="32">
                  <c:v>0.79468000000000005</c:v>
                </c:pt>
                <c:pt idx="33">
                  <c:v>0.36696000000000001</c:v>
                </c:pt>
                <c:pt idx="34">
                  <c:v>0.34650999999999998</c:v>
                </c:pt>
                <c:pt idx="35">
                  <c:v>0.31375999999999998</c:v>
                </c:pt>
                <c:pt idx="36">
                  <c:v>0.30623</c:v>
                </c:pt>
                <c:pt idx="37">
                  <c:v>0.41221000000000002</c:v>
                </c:pt>
                <c:pt idx="38">
                  <c:v>0.71560999999999997</c:v>
                </c:pt>
                <c:pt idx="39">
                  <c:v>0.91459000000000001</c:v>
                </c:pt>
                <c:pt idx="40">
                  <c:v>0.66251000000000004</c:v>
                </c:pt>
                <c:pt idx="41">
                  <c:v>0.26844000000000001</c:v>
                </c:pt>
                <c:pt idx="42">
                  <c:v>0.86446999999999996</c:v>
                </c:pt>
                <c:pt idx="43">
                  <c:v>0.82735000000000003</c:v>
                </c:pt>
                <c:pt idx="44">
                  <c:v>0.42662</c:v>
                </c:pt>
                <c:pt idx="45">
                  <c:v>0.28986000000000001</c:v>
                </c:pt>
                <c:pt idx="46">
                  <c:v>0.83818000000000004</c:v>
                </c:pt>
                <c:pt idx="47">
                  <c:v>0.74760000000000004</c:v>
                </c:pt>
                <c:pt idx="48">
                  <c:v>0.73897999999999997</c:v>
                </c:pt>
                <c:pt idx="49">
                  <c:v>0.73706000000000005</c:v>
                </c:pt>
                <c:pt idx="50">
                  <c:v>0.80327000000000004</c:v>
                </c:pt>
                <c:pt idx="51">
                  <c:v>0.75183</c:v>
                </c:pt>
                <c:pt idx="52">
                  <c:v>0.31384000000000001</c:v>
                </c:pt>
                <c:pt idx="53">
                  <c:v>0.50429999999999997</c:v>
                </c:pt>
                <c:pt idx="54">
                  <c:v>0.47804999999999997</c:v>
                </c:pt>
                <c:pt idx="55">
                  <c:v>0.47665000000000002</c:v>
                </c:pt>
                <c:pt idx="56">
                  <c:v>0.38696999999999998</c:v>
                </c:pt>
                <c:pt idx="57">
                  <c:v>0.38114999999999999</c:v>
                </c:pt>
                <c:pt idx="58">
                  <c:v>0.20608000000000001</c:v>
                </c:pt>
                <c:pt idx="59">
                  <c:v>0.66752999999999996</c:v>
                </c:pt>
                <c:pt idx="60">
                  <c:v>0.66747999999999996</c:v>
                </c:pt>
                <c:pt idx="61">
                  <c:v>0.5675</c:v>
                </c:pt>
                <c:pt idx="62">
                  <c:v>0.47844999999999999</c:v>
                </c:pt>
                <c:pt idx="63">
                  <c:v>0.24790999999999999</c:v>
                </c:pt>
                <c:pt idx="64">
                  <c:v>0.50146999999999997</c:v>
                </c:pt>
                <c:pt idx="65">
                  <c:v>0.25747999999999999</c:v>
                </c:pt>
                <c:pt idx="66">
                  <c:v>0.73416999999999999</c:v>
                </c:pt>
                <c:pt idx="67">
                  <c:v>0.27176</c:v>
                </c:pt>
                <c:pt idx="68">
                  <c:v>0.74278999999999995</c:v>
                </c:pt>
                <c:pt idx="69">
                  <c:v>0.23483000000000001</c:v>
                </c:pt>
                <c:pt idx="70">
                  <c:v>0.42888999999999999</c:v>
                </c:pt>
                <c:pt idx="71">
                  <c:v>0.74897999999999998</c:v>
                </c:pt>
                <c:pt idx="72">
                  <c:v>0.22026000000000001</c:v>
                </c:pt>
                <c:pt idx="73">
                  <c:v>0.28982000000000002</c:v>
                </c:pt>
                <c:pt idx="74">
                  <c:v>0.54527999999999999</c:v>
                </c:pt>
                <c:pt idx="75">
                  <c:v>0.52022000000000002</c:v>
                </c:pt>
                <c:pt idx="76">
                  <c:v>0.59402999999999995</c:v>
                </c:pt>
                <c:pt idx="77">
                  <c:v>0.42716999999999999</c:v>
                </c:pt>
                <c:pt idx="78">
                  <c:v>0.42559000000000002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9-6544-964B-D008AD4DE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363855"/>
        <c:axId val="525267935"/>
      </c:scatterChart>
      <c:valAx>
        <c:axId val="5323638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25267935"/>
        <c:crosses val="autoZero"/>
        <c:crossBetween val="midCat"/>
      </c:valAx>
      <c:valAx>
        <c:axId val="5252679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3236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0</xdr:row>
      <xdr:rowOff>177800</xdr:rowOff>
    </xdr:from>
    <xdr:to>
      <xdr:col>13</xdr:col>
      <xdr:colOff>348901</xdr:colOff>
      <xdr:row>26</xdr:row>
      <xdr:rowOff>27912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2EABB-84F1-906D-D60E-9E59DA059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663098</xdr:colOff>
      <xdr:row>2</xdr:row>
      <xdr:rowOff>22478</xdr:rowOff>
    </xdr:from>
    <xdr:to>
      <xdr:col>8</xdr:col>
      <xdr:colOff>674336</xdr:colOff>
      <xdr:row>23</xdr:row>
      <xdr:rowOff>101151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F3CE716-1BF9-7A87-05B0-D4D0BEA74642}"/>
            </a:ext>
          </a:extLst>
        </xdr:cNvPr>
        <xdr:cNvCxnSpPr/>
      </xdr:nvCxnSpPr>
      <xdr:spPr>
        <a:xfrm flipH="1">
          <a:off x="8069558" y="427080"/>
          <a:ext cx="11238" cy="4326991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618435</xdr:colOff>
      <xdr:row>13</xdr:row>
      <xdr:rowOff>33130</xdr:rowOff>
    </xdr:from>
    <xdr:to>
      <xdr:col>14</xdr:col>
      <xdr:colOff>265043</xdr:colOff>
      <xdr:row>13</xdr:row>
      <xdr:rowOff>38652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B16102C-A289-1B4E-BA7F-ACEE2634216B}"/>
            </a:ext>
          </a:extLst>
        </xdr:cNvPr>
        <xdr:cNvCxnSpPr/>
      </xdr:nvCxnSpPr>
      <xdr:spPr>
        <a:xfrm flipV="1">
          <a:off x="3937000" y="2689087"/>
          <a:ext cx="8757478" cy="5522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5</xdr:row>
      <xdr:rowOff>88900</xdr:rowOff>
    </xdr:from>
    <xdr:to>
      <xdr:col>10</xdr:col>
      <xdr:colOff>228600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858AB2-5EAD-6CE3-03E2-347E3B38F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743502</xdr:colOff>
      <xdr:row>5</xdr:row>
      <xdr:rowOff>98011</xdr:rowOff>
    </xdr:from>
    <xdr:to>
      <xdr:col>7</xdr:col>
      <xdr:colOff>768902</xdr:colOff>
      <xdr:row>21</xdr:row>
      <xdr:rowOff>123411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BF45DD9-C8DE-D912-DD63-D842D59267F5}"/>
            </a:ext>
          </a:extLst>
        </xdr:cNvPr>
        <xdr:cNvCxnSpPr/>
      </xdr:nvCxnSpPr>
      <xdr:spPr>
        <a:xfrm flipH="1">
          <a:off x="6541328" y="1098826"/>
          <a:ext cx="25400" cy="3228009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596900</xdr:colOff>
      <xdr:row>13</xdr:row>
      <xdr:rowOff>88900</xdr:rowOff>
    </xdr:from>
    <xdr:to>
      <xdr:col>10</xdr:col>
      <xdr:colOff>152400</xdr:colOff>
      <xdr:row>13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C87DA57-BC7C-CA4E-992E-7C577BA9C256}"/>
            </a:ext>
          </a:extLst>
        </xdr:cNvPr>
        <xdr:cNvCxnSpPr/>
      </xdr:nvCxnSpPr>
      <xdr:spPr>
        <a:xfrm flipH="1">
          <a:off x="4724400" y="2730500"/>
          <a:ext cx="3683000" cy="2540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3F35E-6183-DC44-8F35-2449BB37BFCA}" name="Table32" displayName="Table32" ref="A6:AK87" totalsRowShown="0" dataDxfId="72">
  <sortState xmlns:xlrd2="http://schemas.microsoft.com/office/spreadsheetml/2017/richdata2" ref="A7:AE87">
    <sortCondition ref="B6:B87"/>
  </sortState>
  <tableColumns count="37">
    <tableColumn id="1" xr3:uid="{182A219A-CAF4-9A40-A81E-626D82D51746}" name="Structural family (inferred from La Naour Vernet et al. (2025)) " dataDxfId="71"/>
    <tableColumn id="2" xr3:uid="{77765A95-D58C-1A4C-AF49-6A906297DABC}" name="PDB_ID" dataDxfId="70"/>
    <tableColumn id="3" xr3:uid="{935A742A-0B15-424A-845A-4AD1B153512E}" name="How many protein identities in crystal structure " dataDxfId="69"/>
    <tableColumn id="4" xr3:uid="{10281D24-F102-7540-8EC6-6F86CCC43095}" name="Chain" dataDxfId="68"/>
    <tableColumn id="29" xr3:uid="{745CD683-00FD-BB43-9BD6-6245A307D103}" name="PDB_ID_2" dataDxfId="67">
      <calculatedColumnFormula>LEFT(B7,4)&amp;"."&amp;LEFT(D7,1)</calculatedColumnFormula>
    </tableColumn>
    <tableColumn id="5" xr3:uid="{76BAAFE0-1581-3B47-BCAA-C2402FFD6818}" name="Annotation" dataDxfId="66"/>
    <tableColumn id="6" xr3:uid="{635278D5-6083-7940-BC37-1EF33054699E}" name="Organism" dataDxfId="65"/>
    <tableColumn id="7" xr3:uid="{1A6611AF-6043-4E47-B3EB-EA4F47E720F2}" name="Effector" dataDxfId="64"/>
    <tableColumn id="8" xr3:uid="{7CE0D133-20FE-9E43-8D26-194A166FEBE3}" name="Method" dataDxfId="63"/>
    <tableColumn id="9" xr3:uid="{4A9114F1-4249-9C46-B369-F496C758368E}" name="Resolution" dataDxfId="62"/>
    <tableColumn id="10" xr3:uid="{BBA79EC2-C341-BB4B-9637-B00EBB8AB6A5}" name="Found in " dataDxfId="61"/>
    <tableColumn id="11" xr3:uid="{9C403E0D-6369-064B-BA70-9CDD7FE53CA5}" name="Resolved by" dataDxfId="60"/>
    <tableColumn id="12" xr3:uid="{975B35DC-74F7-1444-BF26-D860F0C29CD4}" name="Deposition_date" dataDxfId="24"/>
    <tableColumn id="13" xr3:uid="{E55228C9-95C4-F441-BFFD-8F635836FD45}" name="TM_score_crystal" dataDxfId="23"/>
    <tableColumn id="20" xr3:uid="{5DB8BC44-62F7-B442-9290-D6F89FB494C9}" name="TM_score_predicted" dataDxfId="22"/>
    <tableColumn id="14" xr3:uid="{9CB1908B-906D-B94C-ADDD-5C389BBFCCEF}" name="RMSD" dataDxfId="21"/>
    <tableColumn id="15" xr3:uid="{794ED032-BE32-2D44-8926-7E38265F5745}" name="Aligned_length" dataDxfId="20"/>
    <tableColumn id="16" xr3:uid="{2172730D-01A9-CF47-AD24-D36631492D94}" name="Seq_ID" dataDxfId="19"/>
    <tableColumn id="17" xr3:uid="{A7F4C6A9-2305-2146-AE8E-1F1C727D23B9}" name="Predicted_length" dataDxfId="18"/>
    <tableColumn id="18" xr3:uid="{DC5D5102-4CFB-1342-8CB3-7DDFB7087E16}" name="Experimental_length" dataDxfId="17"/>
    <tableColumn id="35" xr3:uid="{8BC645A7-60FA-FD4A-B9D2-C9F3612F3623}" name="Coverage" dataDxfId="16">
      <calculatedColumnFormula>Table32[[#This Row],[Experimental_length]]/Table32[[#This Row],[Predicted_length]]</calculatedColumnFormula>
    </tableColumn>
    <tableColumn id="19" xr3:uid="{0246E150-2EA0-9D40-BA43-11764BD3315C}" name="TM_score_crystal3" dataDxfId="15"/>
    <tableColumn id="22" xr3:uid="{D6D9806C-C62F-6744-8CC6-62440C289A7C}" name="TM_score_predicted4" dataDxfId="14"/>
    <tableColumn id="21" xr3:uid="{10059CBB-B2F5-8245-9419-C2FC80C124FE}" name="RMSD5" dataDxfId="13"/>
    <tableColumn id="23" xr3:uid="{06973666-D443-4B49-B992-5130611074C1}" name="Aligned_length6" dataDxfId="12"/>
    <tableColumn id="24" xr3:uid="{B0948709-878C-5C4F-AA29-E7FD2DA70440}" name="Seq_ID7" dataDxfId="11"/>
    <tableColumn id="25" xr3:uid="{6BB848F4-4EE3-1A4F-926A-07A65B1FEE9A}" name="Predicted_length8" dataDxfId="10"/>
    <tableColumn id="26" xr3:uid="{09E68B49-234D-9444-9431-AAFF69E7F380}" name="Experimental_length9" dataDxfId="9"/>
    <tableColumn id="36" xr3:uid="{AD28857F-77A1-8A40-896C-9B1CB90A54D2}" name="Coverage2" dataDxfId="8">
      <calculatedColumnFormula>Table32[[#This Row],[Experimental_length9]]/Table32[[#This Row],[Predicted_length8]]</calculatedColumnFormula>
    </tableColumn>
    <tableColumn id="27" xr3:uid="{AC7FBEF6-4D1B-7B4C-BFF6-D5C4603EB5D7}" name="TM_score_crystal2" dataDxfId="7"/>
    <tableColumn id="28" xr3:uid="{9EE58246-CBF4-CA4F-A207-2B032119D501}" name="TM_score_predicted3" dataDxfId="6"/>
    <tableColumn id="30" xr3:uid="{ABE891E0-1584-6D41-B812-4B420E4DB008}" name="RMSD4" dataDxfId="5"/>
    <tableColumn id="31" xr3:uid="{3464ECCF-E8C4-0942-A256-34ED7DB53A53}" name="Aligned_length5" dataDxfId="4"/>
    <tableColumn id="32" xr3:uid="{54390604-F3C8-1948-87A8-38F3F87C2165}" name="Seq_ID6" dataDxfId="3"/>
    <tableColumn id="33" xr3:uid="{BB17B37E-B515-FA43-BD85-375973542259}" name="Predicted_length7" dataDxfId="2"/>
    <tableColumn id="34" xr3:uid="{77799AC9-ADA0-7E48-95B4-410FC7A8F8BD}" name="Experimental_length8" dataDxfId="1"/>
    <tableColumn id="37" xr3:uid="{F7054D43-F9B0-0044-8A09-A448EFE12810}" name="Coverage3" dataDxfId="0">
      <calculatedColumnFormula>Table32[[#This Row],[Experimental_length8]]/Table32[[#This Row],[Predicted_length7]]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DA8C6A-9FBD-ED4D-8319-39217DCA5790}" name="Table323" displayName="Table323" ref="A6:AH109" totalsRowShown="0" dataDxfId="59">
  <sortState xmlns:xlrd2="http://schemas.microsoft.com/office/spreadsheetml/2017/richdata2" ref="A7:AC109">
    <sortCondition ref="B6:B109"/>
  </sortState>
  <tableColumns count="34">
    <tableColumn id="1" xr3:uid="{6CED1E2D-F272-9E46-819B-0B0907DCEE27}" name="Structural family (inferred from La Naour Vernet et al. (2025)) " dataDxfId="58"/>
    <tableColumn id="2" xr3:uid="{68C0E06F-8F84-E04A-973C-6692DFB31A4B}" name="PDB_ID" dataDxfId="57"/>
    <tableColumn id="3" xr3:uid="{6693B486-548F-E442-A8BF-AC005B4FD1CF}" name="How many protein identities in crystal structure " dataDxfId="56"/>
    <tableColumn id="4" xr3:uid="{5786219A-EECF-9E46-ACF8-96A2324D12C4}" name="Chain" dataDxfId="55"/>
    <tableColumn id="29" xr3:uid="{9334D443-43F0-E049-BCB3-7D08CEB0DA58}" name="PDB_ID_2" dataDxfId="54">
      <calculatedColumnFormula>LEFT(B7,4)&amp;"."&amp;LEFT(D7,1)</calculatedColumnFormula>
    </tableColumn>
    <tableColumn id="5" xr3:uid="{24B80D27-F9D1-114C-A459-CF6613D2C498}" name="Annotation" dataDxfId="53"/>
    <tableColumn id="6" xr3:uid="{1C5EA036-C5AF-3147-B8E2-716E61EE6712}" name="Organism" dataDxfId="52"/>
    <tableColumn id="7" xr3:uid="{9D03B626-9A4E-2E46-AE67-13BE00C7B0CD}" name="Effector" dataDxfId="51"/>
    <tableColumn id="8" xr3:uid="{72962A75-B8D1-FC4B-AD2A-917FBFFE8CA1}" name="Method" dataDxfId="50"/>
    <tableColumn id="9" xr3:uid="{B815FF72-7443-D045-AC4E-35B6BD1E1E32}" name="Resolution" dataDxfId="49"/>
    <tableColumn id="10" xr3:uid="{29FA55A8-FD59-5746-90C0-7F97894ED836}" name="Found in " dataDxfId="48"/>
    <tableColumn id="11" xr3:uid="{271C6677-0FD1-D44B-9942-D0E7FA57C0D9}" name="Resolved by" dataDxfId="47"/>
    <tableColumn id="12" xr3:uid="{C62CDB9B-805E-A149-A990-FD517255F906}" name="Deposition_date" dataDxfId="46"/>
    <tableColumn id="13" xr3:uid="{5AB03E1D-03E7-924B-8297-4CAA75FCA869}" name="TM_score_crystal" dataDxfId="45"/>
    <tableColumn id="20" xr3:uid="{F9D333F9-BA4C-3E41-A339-0863959F2CE3}" name="TM_score_predicted" dataDxfId="44"/>
    <tableColumn id="14" xr3:uid="{545591A3-C10B-EB4A-B1A7-1CED6F6A3990}" name="RMSD" dataDxfId="43"/>
    <tableColumn id="15" xr3:uid="{BEC66F37-6016-7541-88C3-14D8F3118691}" name="Aligned_length" dataDxfId="42"/>
    <tableColumn id="16" xr3:uid="{A3FA5424-A002-354F-8375-7C7BD355F2FD}" name="Seq_ID" dataDxfId="41"/>
    <tableColumn id="17" xr3:uid="{98622FB4-145F-4547-95D6-15C9A96C7F0C}" name="Predicted_length" dataDxfId="40"/>
    <tableColumn id="18" xr3:uid="{B854DB2F-3A21-BE4A-AB05-538D57F9B540}" name="Experimental_length" dataDxfId="39"/>
    <tableColumn id="19" xr3:uid="{DDF45629-D417-7B48-8EED-F8CEEBB9E747}" name="TM_score_crystal3" dataDxfId="38"/>
    <tableColumn id="22" xr3:uid="{E559F0BB-E79E-8045-860B-A78053778D67}" name="TM_score_predicted4" dataDxfId="37"/>
    <tableColumn id="21" xr3:uid="{BCD59C0D-32B4-FC48-A5D5-635F13D81824}" name="RMSD5" dataDxfId="36"/>
    <tableColumn id="23" xr3:uid="{AC8F0789-569D-324F-AC6C-C856869CBC3D}" name="Aligned_length6" dataDxfId="35"/>
    <tableColumn id="24" xr3:uid="{4FC47516-76B8-E942-8EA8-7DB755A03234}" name="Seq_ID7" dataDxfId="34"/>
    <tableColumn id="25" xr3:uid="{B240496D-285D-224A-868F-19DD0F642412}" name="Predicted_length8" dataDxfId="33"/>
    <tableColumn id="26" xr3:uid="{209A3773-CA27-6440-BC58-A82DBD850287}" name="Experimental_length9" dataDxfId="32"/>
    <tableColumn id="27" xr3:uid="{F352E144-2901-8543-AA00-DDFDA2707782}" name="TM_score_crystal2" dataDxfId="31"/>
    <tableColumn id="28" xr3:uid="{E1E05806-D6BA-8547-A95E-F7E06B81DFA6}" name="TM_score_predicted3" dataDxfId="30"/>
    <tableColumn id="30" xr3:uid="{232578D9-AA43-A841-A131-9A1F9B220867}" name="RMSD4" dataDxfId="29"/>
    <tableColumn id="31" xr3:uid="{A84EBA4D-936D-704B-B68C-4F6F97410767}" name="Aligned_length5" dataDxfId="28"/>
    <tableColumn id="32" xr3:uid="{E5F4E020-EA18-7E4F-807F-A923DDC0D425}" name="Seq_ID6" dataDxfId="27"/>
    <tableColumn id="33" xr3:uid="{6D2CE977-B943-964D-B6FD-B6A19F335607}" name="Predicted_length7" dataDxfId="26"/>
    <tableColumn id="34" xr3:uid="{BC39FA55-3247-9E46-91CE-C13307A31FD8}" name="Experimental_length8" dataDxfId="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A7EB-24BF-3C4B-AAC9-F5B5ECF6FA78}">
  <dimension ref="A1:L104"/>
  <sheetViews>
    <sheetView topLeftCell="A67" workbookViewId="0">
      <selection activeCell="N10" sqref="N10"/>
    </sheetView>
  </sheetViews>
  <sheetFormatPr baseColWidth="10" defaultRowHeight="16" x14ac:dyDescent="0.2"/>
  <sheetData>
    <row r="1" spans="1:12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</row>
    <row r="2" spans="1:12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0.53</v>
      </c>
      <c r="I2">
        <v>224</v>
      </c>
      <c r="J2">
        <v>1</v>
      </c>
      <c r="K2">
        <v>224</v>
      </c>
      <c r="L2">
        <v>224</v>
      </c>
    </row>
    <row r="3" spans="1:12" x14ac:dyDescent="0.2">
      <c r="A3" t="s">
        <v>18</v>
      </c>
      <c r="B3" t="s">
        <v>19</v>
      </c>
      <c r="C3" t="s">
        <v>20</v>
      </c>
      <c r="E3">
        <v>0</v>
      </c>
      <c r="F3" t="s">
        <v>415</v>
      </c>
    </row>
    <row r="4" spans="1:12" x14ac:dyDescent="0.2">
      <c r="A4" t="s">
        <v>138</v>
      </c>
      <c r="B4" t="s">
        <v>77</v>
      </c>
      <c r="C4" t="s">
        <v>139</v>
      </c>
      <c r="D4" t="s">
        <v>140</v>
      </c>
      <c r="E4">
        <v>1</v>
      </c>
      <c r="F4" t="s">
        <v>442</v>
      </c>
      <c r="G4">
        <v>0.96206999999999998</v>
      </c>
      <c r="H4">
        <v>0.91</v>
      </c>
      <c r="I4">
        <v>79</v>
      </c>
      <c r="J4">
        <v>1</v>
      </c>
      <c r="K4">
        <v>79</v>
      </c>
      <c r="L4">
        <v>79</v>
      </c>
    </row>
    <row r="5" spans="1:12" x14ac:dyDescent="0.2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417</v>
      </c>
      <c r="G5">
        <v>0.96011999999999997</v>
      </c>
      <c r="H5">
        <v>0.85</v>
      </c>
      <c r="I5">
        <v>105</v>
      </c>
      <c r="J5">
        <v>1</v>
      </c>
      <c r="K5">
        <v>105</v>
      </c>
      <c r="L5">
        <v>105</v>
      </c>
    </row>
    <row r="6" spans="1:12" x14ac:dyDescent="0.2">
      <c r="A6" t="s">
        <v>182</v>
      </c>
      <c r="B6" t="s">
        <v>183</v>
      </c>
      <c r="C6" t="s">
        <v>46</v>
      </c>
      <c r="D6" t="s">
        <v>184</v>
      </c>
      <c r="E6">
        <v>1</v>
      </c>
      <c r="F6" t="s">
        <v>450</v>
      </c>
      <c r="G6">
        <v>0.94608999999999999</v>
      </c>
      <c r="H6">
        <v>0.86</v>
      </c>
      <c r="I6">
        <v>67</v>
      </c>
      <c r="J6">
        <v>1</v>
      </c>
      <c r="K6">
        <v>68</v>
      </c>
      <c r="L6">
        <v>67</v>
      </c>
    </row>
    <row r="7" spans="1:12" x14ac:dyDescent="0.2">
      <c r="A7" t="s">
        <v>105</v>
      </c>
      <c r="B7" t="s">
        <v>26</v>
      </c>
      <c r="C7" t="s">
        <v>106</v>
      </c>
      <c r="D7" t="s">
        <v>38</v>
      </c>
      <c r="E7">
        <v>1</v>
      </c>
      <c r="F7" t="s">
        <v>433</v>
      </c>
      <c r="G7">
        <v>0.94089</v>
      </c>
      <c r="H7">
        <v>1.07</v>
      </c>
      <c r="I7">
        <v>133</v>
      </c>
      <c r="J7">
        <v>1</v>
      </c>
      <c r="K7">
        <v>137</v>
      </c>
      <c r="L7">
        <v>133</v>
      </c>
    </row>
    <row r="8" spans="1:12" x14ac:dyDescent="0.2">
      <c r="A8" t="s">
        <v>108</v>
      </c>
      <c r="B8" t="s">
        <v>26</v>
      </c>
      <c r="C8" t="s">
        <v>109</v>
      </c>
      <c r="D8" t="s">
        <v>104</v>
      </c>
      <c r="E8">
        <v>1</v>
      </c>
      <c r="F8" t="s">
        <v>434</v>
      </c>
      <c r="G8">
        <v>0.91459000000000001</v>
      </c>
      <c r="H8">
        <v>1.47</v>
      </c>
      <c r="I8">
        <v>568</v>
      </c>
      <c r="J8">
        <v>1</v>
      </c>
      <c r="K8">
        <v>605</v>
      </c>
      <c r="L8">
        <v>568</v>
      </c>
    </row>
    <row r="9" spans="1:12" x14ac:dyDescent="0.2">
      <c r="A9" t="s">
        <v>142</v>
      </c>
      <c r="B9" t="s">
        <v>14</v>
      </c>
      <c r="C9" t="s">
        <v>143</v>
      </c>
      <c r="D9" t="s">
        <v>144</v>
      </c>
      <c r="E9">
        <v>1</v>
      </c>
      <c r="F9" t="s">
        <v>443</v>
      </c>
      <c r="G9">
        <v>0.88753000000000004</v>
      </c>
      <c r="H9">
        <v>1.63</v>
      </c>
      <c r="I9">
        <v>95</v>
      </c>
      <c r="J9">
        <v>0.94699999999999995</v>
      </c>
      <c r="K9">
        <v>98</v>
      </c>
      <c r="L9">
        <v>97</v>
      </c>
    </row>
    <row r="10" spans="1:12" x14ac:dyDescent="0.2">
      <c r="A10" t="s">
        <v>92</v>
      </c>
      <c r="B10" t="s">
        <v>19</v>
      </c>
      <c r="C10" t="s">
        <v>93</v>
      </c>
      <c r="D10" t="s">
        <v>91</v>
      </c>
      <c r="E10">
        <v>1</v>
      </c>
      <c r="F10" t="s">
        <v>427</v>
      </c>
      <c r="G10">
        <v>0.86446999999999996</v>
      </c>
      <c r="H10">
        <v>0.83</v>
      </c>
      <c r="I10">
        <v>74</v>
      </c>
      <c r="J10">
        <v>1</v>
      </c>
      <c r="K10">
        <v>81</v>
      </c>
      <c r="L10">
        <v>74</v>
      </c>
    </row>
    <row r="11" spans="1:12" x14ac:dyDescent="0.2">
      <c r="A11" t="s">
        <v>118</v>
      </c>
      <c r="B11" t="s">
        <v>14</v>
      </c>
      <c r="C11" t="s">
        <v>119</v>
      </c>
      <c r="D11" t="s">
        <v>16</v>
      </c>
      <c r="E11">
        <v>1</v>
      </c>
      <c r="F11" t="s">
        <v>437</v>
      </c>
      <c r="G11">
        <v>0.84596000000000005</v>
      </c>
      <c r="H11">
        <v>2.02</v>
      </c>
      <c r="I11">
        <v>121</v>
      </c>
      <c r="J11">
        <v>1</v>
      </c>
      <c r="K11">
        <v>128</v>
      </c>
      <c r="L11">
        <v>124</v>
      </c>
    </row>
    <row r="12" spans="1:12" x14ac:dyDescent="0.2">
      <c r="A12" t="s">
        <v>64</v>
      </c>
      <c r="B12" t="s">
        <v>26</v>
      </c>
      <c r="C12" t="s">
        <v>65</v>
      </c>
      <c r="D12" t="s">
        <v>16</v>
      </c>
      <c r="E12">
        <v>1</v>
      </c>
      <c r="F12" t="s">
        <v>426</v>
      </c>
      <c r="G12">
        <v>0.83818000000000004</v>
      </c>
      <c r="H12">
        <v>1.89</v>
      </c>
      <c r="I12">
        <v>244</v>
      </c>
      <c r="J12">
        <v>0.92600000000000005</v>
      </c>
      <c r="K12">
        <v>271</v>
      </c>
      <c r="L12">
        <v>245</v>
      </c>
    </row>
    <row r="13" spans="1:12" x14ac:dyDescent="0.2">
      <c r="A13" t="s">
        <v>296</v>
      </c>
      <c r="B13" t="s">
        <v>14</v>
      </c>
      <c r="C13" t="s">
        <v>297</v>
      </c>
      <c r="D13" t="s">
        <v>298</v>
      </c>
      <c r="E13">
        <v>1</v>
      </c>
      <c r="F13" t="s">
        <v>472</v>
      </c>
      <c r="G13">
        <v>0.82735000000000003</v>
      </c>
      <c r="H13">
        <v>1.4</v>
      </c>
      <c r="I13">
        <v>91</v>
      </c>
      <c r="J13">
        <v>1</v>
      </c>
      <c r="K13">
        <v>104</v>
      </c>
      <c r="L13">
        <v>95</v>
      </c>
    </row>
    <row r="14" spans="1:12" x14ac:dyDescent="0.2">
      <c r="A14" t="s">
        <v>178</v>
      </c>
      <c r="B14" t="s">
        <v>19</v>
      </c>
      <c r="C14" t="s">
        <v>50</v>
      </c>
      <c r="D14" t="s">
        <v>38</v>
      </c>
      <c r="E14">
        <v>1</v>
      </c>
      <c r="F14" t="s">
        <v>448</v>
      </c>
      <c r="G14">
        <v>0.82730000000000004</v>
      </c>
      <c r="H14">
        <v>2.11</v>
      </c>
      <c r="I14">
        <v>66</v>
      </c>
      <c r="J14">
        <v>1</v>
      </c>
      <c r="K14">
        <v>68</v>
      </c>
      <c r="L14">
        <v>68</v>
      </c>
    </row>
    <row r="15" spans="1:12" x14ac:dyDescent="0.2">
      <c r="A15" t="s">
        <v>128</v>
      </c>
      <c r="B15" t="s">
        <v>77</v>
      </c>
      <c r="C15" t="s">
        <v>129</v>
      </c>
      <c r="D15" t="s">
        <v>38</v>
      </c>
      <c r="E15">
        <v>1</v>
      </c>
      <c r="F15" t="s">
        <v>440</v>
      </c>
      <c r="G15">
        <v>0.80327000000000004</v>
      </c>
      <c r="H15">
        <v>0.85</v>
      </c>
      <c r="I15">
        <v>54</v>
      </c>
      <c r="J15">
        <v>1</v>
      </c>
      <c r="K15">
        <v>64</v>
      </c>
      <c r="L15">
        <v>56</v>
      </c>
    </row>
    <row r="16" spans="1:12" x14ac:dyDescent="0.2">
      <c r="A16" t="s">
        <v>89</v>
      </c>
      <c r="B16" t="s">
        <v>14</v>
      </c>
      <c r="C16" t="s">
        <v>90</v>
      </c>
      <c r="D16" t="s">
        <v>91</v>
      </c>
      <c r="E16">
        <v>1</v>
      </c>
      <c r="F16" t="s">
        <v>427</v>
      </c>
      <c r="G16">
        <v>0.79468000000000005</v>
      </c>
      <c r="H16">
        <v>2.1800000000000002</v>
      </c>
      <c r="I16">
        <v>74</v>
      </c>
      <c r="J16">
        <v>1</v>
      </c>
      <c r="K16">
        <v>80</v>
      </c>
      <c r="L16">
        <v>77</v>
      </c>
    </row>
    <row r="17" spans="1:12" x14ac:dyDescent="0.2">
      <c r="A17" t="s">
        <v>51</v>
      </c>
      <c r="B17" t="s">
        <v>14</v>
      </c>
      <c r="C17" t="s">
        <v>50</v>
      </c>
      <c r="D17" t="s">
        <v>38</v>
      </c>
      <c r="E17">
        <v>1</v>
      </c>
      <c r="F17" t="s">
        <v>422</v>
      </c>
      <c r="G17">
        <v>0.77305999999999997</v>
      </c>
      <c r="H17">
        <v>1.78</v>
      </c>
      <c r="I17">
        <v>65</v>
      </c>
      <c r="J17">
        <v>0.93799999999999994</v>
      </c>
      <c r="K17">
        <v>66</v>
      </c>
      <c r="L17">
        <v>66</v>
      </c>
    </row>
    <row r="18" spans="1:12" x14ac:dyDescent="0.2">
      <c r="A18" t="s">
        <v>67</v>
      </c>
      <c r="B18" t="s">
        <v>68</v>
      </c>
      <c r="C18" t="s">
        <v>69</v>
      </c>
      <c r="D18" t="s">
        <v>16</v>
      </c>
      <c r="E18">
        <v>0</v>
      </c>
      <c r="F18" t="s">
        <v>426</v>
      </c>
    </row>
    <row r="19" spans="1:12" x14ac:dyDescent="0.2">
      <c r="A19" t="s">
        <v>268</v>
      </c>
      <c r="B19" t="s">
        <v>14</v>
      </c>
      <c r="C19" t="s">
        <v>269</v>
      </c>
      <c r="D19" t="s">
        <v>238</v>
      </c>
      <c r="E19">
        <v>1</v>
      </c>
      <c r="F19" t="s">
        <v>467</v>
      </c>
      <c r="G19">
        <v>0.75200999999999996</v>
      </c>
      <c r="H19">
        <v>1.76</v>
      </c>
      <c r="I19">
        <v>56</v>
      </c>
      <c r="J19">
        <v>1</v>
      </c>
      <c r="K19">
        <v>60</v>
      </c>
      <c r="L19">
        <v>60</v>
      </c>
    </row>
    <row r="20" spans="1:12" x14ac:dyDescent="0.2">
      <c r="A20" t="s">
        <v>158</v>
      </c>
      <c r="B20" t="s">
        <v>19</v>
      </c>
      <c r="C20" t="s">
        <v>152</v>
      </c>
      <c r="D20" t="s">
        <v>38</v>
      </c>
      <c r="E20">
        <v>1</v>
      </c>
      <c r="F20" t="s">
        <v>444</v>
      </c>
      <c r="G20">
        <v>0.75183</v>
      </c>
      <c r="H20">
        <v>1.52</v>
      </c>
      <c r="I20">
        <v>77</v>
      </c>
      <c r="J20">
        <v>0.85699999999999998</v>
      </c>
      <c r="K20">
        <v>93</v>
      </c>
      <c r="L20">
        <v>81</v>
      </c>
    </row>
    <row r="21" spans="1:12" x14ac:dyDescent="0.2">
      <c r="A21" t="s">
        <v>114</v>
      </c>
      <c r="B21" t="s">
        <v>14</v>
      </c>
      <c r="C21" t="s">
        <v>115</v>
      </c>
      <c r="D21" t="s">
        <v>116</v>
      </c>
      <c r="E21">
        <v>1</v>
      </c>
      <c r="F21" t="s">
        <v>436</v>
      </c>
      <c r="G21">
        <v>0.74897999999999998</v>
      </c>
      <c r="H21">
        <v>0.34</v>
      </c>
      <c r="I21">
        <v>89</v>
      </c>
      <c r="J21">
        <v>0.98899999999999999</v>
      </c>
      <c r="K21">
        <v>118</v>
      </c>
      <c r="L21">
        <v>89</v>
      </c>
    </row>
    <row r="22" spans="1:12" x14ac:dyDescent="0.2">
      <c r="A22" t="s">
        <v>150</v>
      </c>
      <c r="B22" t="s">
        <v>151</v>
      </c>
      <c r="C22" t="s">
        <v>152</v>
      </c>
      <c r="D22" t="s">
        <v>38</v>
      </c>
      <c r="E22">
        <v>1</v>
      </c>
      <c r="F22" t="s">
        <v>444</v>
      </c>
      <c r="G22">
        <v>0.74760000000000004</v>
      </c>
      <c r="H22">
        <v>1.84</v>
      </c>
      <c r="I22">
        <v>78</v>
      </c>
      <c r="J22">
        <v>0.84599999999999997</v>
      </c>
      <c r="K22">
        <v>93</v>
      </c>
      <c r="L22">
        <v>84</v>
      </c>
    </row>
    <row r="23" spans="1:12" x14ac:dyDescent="0.2">
      <c r="A23" t="s">
        <v>273</v>
      </c>
      <c r="B23" t="s">
        <v>82</v>
      </c>
      <c r="C23" t="s">
        <v>274</v>
      </c>
      <c r="D23" t="s">
        <v>275</v>
      </c>
      <c r="E23">
        <v>1</v>
      </c>
      <c r="F23" t="s">
        <v>468</v>
      </c>
      <c r="G23">
        <v>0.74278999999999995</v>
      </c>
      <c r="H23">
        <v>1.39</v>
      </c>
      <c r="I23">
        <v>112</v>
      </c>
      <c r="J23">
        <v>0.85699999999999998</v>
      </c>
      <c r="K23">
        <v>144</v>
      </c>
      <c r="L23">
        <v>112</v>
      </c>
    </row>
    <row r="24" spans="1:12" x14ac:dyDescent="0.2">
      <c r="A24" t="s">
        <v>102</v>
      </c>
      <c r="B24" t="s">
        <v>68</v>
      </c>
      <c r="C24" t="s">
        <v>103</v>
      </c>
      <c r="D24" t="s">
        <v>104</v>
      </c>
      <c r="E24">
        <v>1</v>
      </c>
      <c r="F24" t="s">
        <v>432</v>
      </c>
      <c r="G24">
        <v>0.73897999999999997</v>
      </c>
      <c r="H24">
        <v>1.89</v>
      </c>
      <c r="I24">
        <v>78</v>
      </c>
      <c r="J24">
        <v>0.84599999999999997</v>
      </c>
      <c r="K24">
        <v>93</v>
      </c>
      <c r="L24">
        <v>83</v>
      </c>
    </row>
    <row r="25" spans="1:12" x14ac:dyDescent="0.2">
      <c r="A25" t="s">
        <v>162</v>
      </c>
      <c r="B25" t="s">
        <v>68</v>
      </c>
      <c r="C25" t="s">
        <v>152</v>
      </c>
      <c r="D25" t="s">
        <v>38</v>
      </c>
      <c r="E25">
        <v>1</v>
      </c>
      <c r="F25" t="s">
        <v>445</v>
      </c>
      <c r="G25">
        <v>0.73706000000000005</v>
      </c>
      <c r="H25">
        <v>1.7</v>
      </c>
      <c r="I25">
        <v>77</v>
      </c>
      <c r="J25">
        <v>0.85699999999999998</v>
      </c>
      <c r="K25">
        <v>93</v>
      </c>
      <c r="L25">
        <v>83</v>
      </c>
    </row>
    <row r="26" spans="1:12" x14ac:dyDescent="0.2">
      <c r="A26" t="s">
        <v>124</v>
      </c>
      <c r="B26" t="s">
        <v>14</v>
      </c>
      <c r="C26" t="s">
        <v>125</v>
      </c>
      <c r="D26" t="s">
        <v>126</v>
      </c>
      <c r="E26">
        <v>1</v>
      </c>
      <c r="F26" t="s">
        <v>439</v>
      </c>
      <c r="G26">
        <v>0.73416999999999999</v>
      </c>
      <c r="H26">
        <v>1.42</v>
      </c>
      <c r="I26">
        <v>119</v>
      </c>
      <c r="J26">
        <v>1</v>
      </c>
      <c r="K26">
        <v>155</v>
      </c>
      <c r="L26">
        <v>122</v>
      </c>
    </row>
    <row r="27" spans="1:12" x14ac:dyDescent="0.2">
      <c r="A27" t="s">
        <v>172</v>
      </c>
      <c r="B27" t="s">
        <v>77</v>
      </c>
      <c r="C27" t="s">
        <v>173</v>
      </c>
      <c r="D27" t="s">
        <v>174</v>
      </c>
      <c r="E27">
        <v>1</v>
      </c>
      <c r="F27" t="s">
        <v>447</v>
      </c>
      <c r="G27">
        <v>0.73097000000000001</v>
      </c>
      <c r="H27">
        <v>2.0699999999999998</v>
      </c>
      <c r="I27">
        <v>67</v>
      </c>
      <c r="J27">
        <v>0.91</v>
      </c>
      <c r="K27">
        <v>79</v>
      </c>
      <c r="L27">
        <v>79</v>
      </c>
    </row>
    <row r="28" spans="1:12" x14ac:dyDescent="0.2">
      <c r="A28" t="s">
        <v>98</v>
      </c>
      <c r="B28" t="s">
        <v>26</v>
      </c>
      <c r="C28" t="s">
        <v>99</v>
      </c>
      <c r="D28" t="s">
        <v>100</v>
      </c>
      <c r="E28">
        <v>0</v>
      </c>
      <c r="F28" t="s">
        <v>432</v>
      </c>
    </row>
    <row r="29" spans="1:12" x14ac:dyDescent="0.2">
      <c r="A29" t="s">
        <v>301</v>
      </c>
      <c r="B29" t="s">
        <v>14</v>
      </c>
      <c r="C29" t="s">
        <v>302</v>
      </c>
      <c r="D29" t="s">
        <v>294</v>
      </c>
      <c r="E29">
        <v>1</v>
      </c>
      <c r="F29" t="s">
        <v>472</v>
      </c>
      <c r="G29">
        <v>0.71560999999999997</v>
      </c>
      <c r="H29">
        <v>2.33</v>
      </c>
      <c r="I29">
        <v>87</v>
      </c>
      <c r="J29">
        <v>0.90800000000000003</v>
      </c>
      <c r="K29">
        <v>99</v>
      </c>
      <c r="L29">
        <v>94</v>
      </c>
    </row>
    <row r="30" spans="1:12" x14ac:dyDescent="0.2">
      <c r="A30" t="s">
        <v>88</v>
      </c>
      <c r="B30" t="s">
        <v>77</v>
      </c>
      <c r="C30" t="s">
        <v>85</v>
      </c>
      <c r="D30" t="s">
        <v>86</v>
      </c>
      <c r="E30">
        <v>1</v>
      </c>
      <c r="F30" t="s">
        <v>430</v>
      </c>
      <c r="G30">
        <v>0.67791000000000001</v>
      </c>
      <c r="H30">
        <v>3.2</v>
      </c>
      <c r="I30">
        <v>113</v>
      </c>
      <c r="J30">
        <v>0.77</v>
      </c>
      <c r="K30">
        <v>131</v>
      </c>
      <c r="L30">
        <v>130</v>
      </c>
    </row>
    <row r="31" spans="1:12" x14ac:dyDescent="0.2">
      <c r="A31" t="s">
        <v>84</v>
      </c>
      <c r="B31" t="s">
        <v>77</v>
      </c>
      <c r="C31" t="s">
        <v>85</v>
      </c>
      <c r="D31" t="s">
        <v>86</v>
      </c>
      <c r="E31">
        <v>1</v>
      </c>
      <c r="F31" t="s">
        <v>430</v>
      </c>
      <c r="G31">
        <v>0.67706999999999995</v>
      </c>
      <c r="H31">
        <v>3.2</v>
      </c>
      <c r="I31">
        <v>113</v>
      </c>
      <c r="J31">
        <v>0.77</v>
      </c>
      <c r="K31">
        <v>131</v>
      </c>
      <c r="L31">
        <v>130</v>
      </c>
    </row>
    <row r="32" spans="1:12" x14ac:dyDescent="0.2">
      <c r="A32" t="s">
        <v>70</v>
      </c>
      <c r="B32" t="s">
        <v>14</v>
      </c>
      <c r="C32" t="s">
        <v>71</v>
      </c>
      <c r="D32" t="s">
        <v>72</v>
      </c>
      <c r="E32">
        <v>1</v>
      </c>
      <c r="F32" t="s">
        <v>427</v>
      </c>
      <c r="G32">
        <v>0.66752999999999996</v>
      </c>
      <c r="H32">
        <v>3.29</v>
      </c>
      <c r="I32">
        <v>183</v>
      </c>
      <c r="J32">
        <v>0.85799999999999998</v>
      </c>
      <c r="K32">
        <v>228</v>
      </c>
      <c r="L32">
        <v>189</v>
      </c>
    </row>
    <row r="33" spans="1:12" x14ac:dyDescent="0.2">
      <c r="A33" t="s">
        <v>74</v>
      </c>
      <c r="B33" t="s">
        <v>14</v>
      </c>
      <c r="C33" t="s">
        <v>71</v>
      </c>
      <c r="D33" t="s">
        <v>72</v>
      </c>
      <c r="E33">
        <v>1</v>
      </c>
      <c r="F33" t="s">
        <v>428</v>
      </c>
      <c r="G33">
        <v>0.66747999999999996</v>
      </c>
      <c r="H33">
        <v>3.31</v>
      </c>
      <c r="I33">
        <v>184</v>
      </c>
      <c r="J33">
        <v>0.83699999999999997</v>
      </c>
      <c r="K33">
        <v>228</v>
      </c>
      <c r="L33">
        <v>189</v>
      </c>
    </row>
    <row r="34" spans="1:12" x14ac:dyDescent="0.2">
      <c r="A34" t="s">
        <v>299</v>
      </c>
      <c r="B34" t="s">
        <v>26</v>
      </c>
      <c r="C34" t="s">
        <v>300</v>
      </c>
      <c r="D34" t="s">
        <v>294</v>
      </c>
      <c r="E34">
        <v>1</v>
      </c>
      <c r="F34" t="s">
        <v>472</v>
      </c>
      <c r="G34">
        <v>0.66251000000000004</v>
      </c>
      <c r="H34">
        <v>2.87</v>
      </c>
      <c r="I34">
        <v>85</v>
      </c>
      <c r="J34">
        <v>0.72899999999999998</v>
      </c>
      <c r="K34">
        <v>98</v>
      </c>
      <c r="L34">
        <v>92</v>
      </c>
    </row>
    <row r="35" spans="1:12" x14ac:dyDescent="0.2">
      <c r="A35" t="s">
        <v>271</v>
      </c>
      <c r="B35" t="s">
        <v>14</v>
      </c>
      <c r="C35" t="s">
        <v>269</v>
      </c>
      <c r="D35" t="s">
        <v>238</v>
      </c>
      <c r="E35">
        <v>1</v>
      </c>
      <c r="F35" t="s">
        <v>467</v>
      </c>
      <c r="G35">
        <v>0.61499999999999999</v>
      </c>
      <c r="H35">
        <v>2.2200000000000002</v>
      </c>
      <c r="I35">
        <v>67</v>
      </c>
      <c r="J35">
        <v>0.97</v>
      </c>
      <c r="K35">
        <v>89</v>
      </c>
      <c r="L35">
        <v>89</v>
      </c>
    </row>
    <row r="36" spans="1:12" x14ac:dyDescent="0.2">
      <c r="A36" t="s">
        <v>94</v>
      </c>
      <c r="B36" t="s">
        <v>26</v>
      </c>
      <c r="C36" t="s">
        <v>95</v>
      </c>
      <c r="D36" t="s">
        <v>96</v>
      </c>
      <c r="E36">
        <v>1</v>
      </c>
      <c r="F36" t="s">
        <v>431</v>
      </c>
      <c r="G36">
        <v>0.59402999999999995</v>
      </c>
      <c r="H36">
        <v>0.73</v>
      </c>
      <c r="I36">
        <v>74</v>
      </c>
      <c r="J36">
        <v>0.97299999999999998</v>
      </c>
      <c r="K36">
        <v>121</v>
      </c>
      <c r="L36">
        <v>74</v>
      </c>
    </row>
    <row r="37" spans="1:12" x14ac:dyDescent="0.2">
      <c r="A37" t="s">
        <v>53</v>
      </c>
      <c r="B37" t="s">
        <v>14</v>
      </c>
      <c r="C37" t="s">
        <v>54</v>
      </c>
      <c r="D37" t="s">
        <v>55</v>
      </c>
      <c r="E37">
        <v>1</v>
      </c>
      <c r="F37" t="s">
        <v>423</v>
      </c>
      <c r="G37">
        <v>0.57696000000000003</v>
      </c>
      <c r="H37">
        <v>3.07</v>
      </c>
      <c r="I37">
        <v>81</v>
      </c>
      <c r="J37">
        <v>0.67900000000000005</v>
      </c>
      <c r="K37">
        <v>95</v>
      </c>
      <c r="L37">
        <v>95</v>
      </c>
    </row>
    <row r="38" spans="1:12" x14ac:dyDescent="0.2">
      <c r="A38" t="s">
        <v>131</v>
      </c>
      <c r="B38" t="s">
        <v>14</v>
      </c>
      <c r="C38" t="s">
        <v>132</v>
      </c>
      <c r="D38" t="s">
        <v>133</v>
      </c>
      <c r="E38">
        <v>0</v>
      </c>
      <c r="F38" t="s">
        <v>441</v>
      </c>
    </row>
    <row r="39" spans="1:12" x14ac:dyDescent="0.2">
      <c r="A39" t="s">
        <v>111</v>
      </c>
      <c r="B39" t="s">
        <v>14</v>
      </c>
      <c r="C39" t="s">
        <v>112</v>
      </c>
      <c r="D39" t="s">
        <v>38</v>
      </c>
      <c r="E39">
        <v>1</v>
      </c>
      <c r="F39" t="s">
        <v>435</v>
      </c>
      <c r="G39">
        <v>0.5675</v>
      </c>
      <c r="H39">
        <v>1.82</v>
      </c>
      <c r="I39">
        <v>64</v>
      </c>
      <c r="J39">
        <v>1</v>
      </c>
      <c r="K39">
        <v>97</v>
      </c>
      <c r="L39">
        <v>79</v>
      </c>
    </row>
    <row r="40" spans="1:12" x14ac:dyDescent="0.2">
      <c r="A40" t="s">
        <v>263</v>
      </c>
      <c r="B40" t="s">
        <v>264</v>
      </c>
      <c r="C40" t="s">
        <v>257</v>
      </c>
      <c r="D40" t="s">
        <v>217</v>
      </c>
      <c r="E40">
        <v>1</v>
      </c>
      <c r="F40" t="s">
        <v>465</v>
      </c>
      <c r="G40">
        <v>0.54527999999999999</v>
      </c>
      <c r="H40">
        <v>4.37</v>
      </c>
      <c r="I40">
        <v>379</v>
      </c>
      <c r="J40">
        <v>0.76300000000000001</v>
      </c>
      <c r="K40">
        <v>575</v>
      </c>
      <c r="L40">
        <v>394</v>
      </c>
    </row>
    <row r="41" spans="1:12" x14ac:dyDescent="0.2">
      <c r="A41" t="s">
        <v>256</v>
      </c>
      <c r="B41" t="s">
        <v>26</v>
      </c>
      <c r="C41" t="s">
        <v>257</v>
      </c>
      <c r="D41" t="s">
        <v>217</v>
      </c>
      <c r="E41">
        <v>1</v>
      </c>
      <c r="F41" t="s">
        <v>464</v>
      </c>
      <c r="G41">
        <v>0.52022000000000002</v>
      </c>
      <c r="H41">
        <v>3.83</v>
      </c>
      <c r="I41">
        <v>350</v>
      </c>
      <c r="J41">
        <v>0.64600000000000002</v>
      </c>
      <c r="K41">
        <v>575</v>
      </c>
      <c r="L41">
        <v>362</v>
      </c>
    </row>
    <row r="42" spans="1:12" x14ac:dyDescent="0.2">
      <c r="A42" t="s">
        <v>146</v>
      </c>
      <c r="B42" t="s">
        <v>147</v>
      </c>
      <c r="C42" t="s">
        <v>148</v>
      </c>
      <c r="D42" t="s">
        <v>133</v>
      </c>
      <c r="E42">
        <v>0</v>
      </c>
      <c r="F42" t="s">
        <v>444</v>
      </c>
    </row>
    <row r="43" spans="1:12" x14ac:dyDescent="0.2">
      <c r="A43" t="s">
        <v>186</v>
      </c>
      <c r="B43" t="s">
        <v>14</v>
      </c>
      <c r="C43" t="s">
        <v>169</v>
      </c>
      <c r="D43" t="s">
        <v>187</v>
      </c>
      <c r="E43">
        <v>1</v>
      </c>
      <c r="F43" t="s">
        <v>451</v>
      </c>
      <c r="G43">
        <v>0.50429999999999997</v>
      </c>
      <c r="H43">
        <v>3.93</v>
      </c>
      <c r="I43">
        <v>118</v>
      </c>
      <c r="J43">
        <v>0.66100000000000003</v>
      </c>
      <c r="K43">
        <v>157</v>
      </c>
      <c r="L43">
        <v>136</v>
      </c>
    </row>
    <row r="44" spans="1:12" x14ac:dyDescent="0.2">
      <c r="A44" t="s">
        <v>321</v>
      </c>
      <c r="B44" t="s">
        <v>19</v>
      </c>
      <c r="C44" t="s">
        <v>322</v>
      </c>
      <c r="D44" t="s">
        <v>323</v>
      </c>
      <c r="E44">
        <v>1</v>
      </c>
      <c r="F44" t="s">
        <v>476</v>
      </c>
      <c r="G44">
        <v>0.50146999999999997</v>
      </c>
      <c r="H44">
        <v>3.27</v>
      </c>
      <c r="I44">
        <v>86</v>
      </c>
      <c r="J44">
        <v>0.54700000000000004</v>
      </c>
      <c r="K44">
        <v>122</v>
      </c>
      <c r="L44">
        <v>98</v>
      </c>
    </row>
    <row r="45" spans="1:12" x14ac:dyDescent="0.2">
      <c r="A45" t="s">
        <v>155</v>
      </c>
      <c r="B45" t="s">
        <v>156</v>
      </c>
      <c r="C45" t="s">
        <v>148</v>
      </c>
      <c r="D45" t="s">
        <v>133</v>
      </c>
      <c r="E45">
        <v>0</v>
      </c>
      <c r="F45" t="s">
        <v>444</v>
      </c>
    </row>
    <row r="46" spans="1:12" x14ac:dyDescent="0.2">
      <c r="A46" t="s">
        <v>157</v>
      </c>
      <c r="B46" t="s">
        <v>14</v>
      </c>
      <c r="C46" t="s">
        <v>148</v>
      </c>
      <c r="D46" t="s">
        <v>133</v>
      </c>
      <c r="E46">
        <v>0</v>
      </c>
      <c r="F46" t="s">
        <v>444</v>
      </c>
    </row>
    <row r="47" spans="1:12" x14ac:dyDescent="0.2">
      <c r="A47" t="s">
        <v>43</v>
      </c>
      <c r="B47" t="s">
        <v>14</v>
      </c>
      <c r="C47" t="s">
        <v>44</v>
      </c>
      <c r="D47" t="s">
        <v>32</v>
      </c>
      <c r="E47">
        <v>1</v>
      </c>
      <c r="F47" t="s">
        <v>420</v>
      </c>
      <c r="G47">
        <v>0.48946000000000001</v>
      </c>
      <c r="H47">
        <v>2.6</v>
      </c>
      <c r="I47">
        <v>45</v>
      </c>
      <c r="J47">
        <v>0.88900000000000001</v>
      </c>
      <c r="K47">
        <v>65</v>
      </c>
      <c r="L47">
        <v>65</v>
      </c>
    </row>
    <row r="48" spans="1:12" x14ac:dyDescent="0.2">
      <c r="A48" t="s">
        <v>159</v>
      </c>
      <c r="B48" t="s">
        <v>26</v>
      </c>
      <c r="C48" t="s">
        <v>160</v>
      </c>
      <c r="D48" t="s">
        <v>133</v>
      </c>
      <c r="E48">
        <v>0</v>
      </c>
      <c r="F48" t="s">
        <v>445</v>
      </c>
    </row>
    <row r="49" spans="1:12" x14ac:dyDescent="0.2">
      <c r="A49" t="s">
        <v>253</v>
      </c>
      <c r="B49" t="s">
        <v>254</v>
      </c>
      <c r="C49" t="s">
        <v>255</v>
      </c>
      <c r="D49" t="s">
        <v>217</v>
      </c>
      <c r="E49">
        <v>1</v>
      </c>
      <c r="F49" t="s">
        <v>463</v>
      </c>
      <c r="G49">
        <v>0.48585</v>
      </c>
      <c r="H49">
        <v>6.13</v>
      </c>
      <c r="I49">
        <v>315</v>
      </c>
      <c r="J49">
        <v>0.41</v>
      </c>
      <c r="K49">
        <v>434</v>
      </c>
      <c r="L49">
        <v>431</v>
      </c>
    </row>
    <row r="50" spans="1:12" x14ac:dyDescent="0.2">
      <c r="A50" t="s">
        <v>211</v>
      </c>
      <c r="B50" t="s">
        <v>14</v>
      </c>
      <c r="C50" t="s">
        <v>212</v>
      </c>
      <c r="D50" t="s">
        <v>213</v>
      </c>
      <c r="E50">
        <v>1</v>
      </c>
      <c r="F50" t="s">
        <v>457</v>
      </c>
      <c r="G50">
        <v>0.48496</v>
      </c>
      <c r="H50">
        <v>2.78</v>
      </c>
      <c r="I50">
        <v>45</v>
      </c>
      <c r="J50">
        <v>0.64400000000000002</v>
      </c>
      <c r="K50">
        <v>50</v>
      </c>
      <c r="L50">
        <v>49</v>
      </c>
    </row>
    <row r="51" spans="1:12" x14ac:dyDescent="0.2">
      <c r="A51" t="s">
        <v>165</v>
      </c>
      <c r="B51" t="s">
        <v>166</v>
      </c>
      <c r="C51" t="s">
        <v>160</v>
      </c>
      <c r="D51" t="s">
        <v>167</v>
      </c>
      <c r="E51">
        <v>0</v>
      </c>
      <c r="F51" t="s">
        <v>445</v>
      </c>
    </row>
    <row r="52" spans="1:12" x14ac:dyDescent="0.2">
      <c r="A52" t="s">
        <v>49</v>
      </c>
      <c r="B52" t="s">
        <v>14</v>
      </c>
      <c r="C52" t="s">
        <v>50</v>
      </c>
      <c r="D52" t="s">
        <v>38</v>
      </c>
      <c r="E52">
        <v>1</v>
      </c>
      <c r="F52" t="s">
        <v>421</v>
      </c>
      <c r="G52">
        <v>0.47844999999999999</v>
      </c>
      <c r="H52">
        <v>2.74</v>
      </c>
      <c r="I52">
        <v>62</v>
      </c>
      <c r="J52">
        <v>0.71</v>
      </c>
      <c r="K52">
        <v>97</v>
      </c>
      <c r="L52">
        <v>79</v>
      </c>
    </row>
    <row r="53" spans="1:12" x14ac:dyDescent="0.2">
      <c r="A53" t="s">
        <v>34</v>
      </c>
      <c r="B53" t="s">
        <v>35</v>
      </c>
      <c r="C53" t="s">
        <v>31</v>
      </c>
      <c r="D53" t="s">
        <v>32</v>
      </c>
      <c r="E53">
        <v>1</v>
      </c>
      <c r="F53" t="s">
        <v>418</v>
      </c>
      <c r="G53">
        <v>0.47804999999999997</v>
      </c>
      <c r="H53">
        <v>3.65</v>
      </c>
      <c r="I53">
        <v>81</v>
      </c>
      <c r="J53">
        <v>0.45700000000000002</v>
      </c>
      <c r="K53">
        <v>118</v>
      </c>
      <c r="L53">
        <v>102</v>
      </c>
    </row>
    <row r="54" spans="1:12" x14ac:dyDescent="0.2">
      <c r="A54" t="s">
        <v>176</v>
      </c>
      <c r="B54" t="s">
        <v>14</v>
      </c>
      <c r="C54" t="s">
        <v>160</v>
      </c>
      <c r="D54" t="s">
        <v>133</v>
      </c>
      <c r="E54">
        <v>0</v>
      </c>
      <c r="F54" t="s">
        <v>448</v>
      </c>
    </row>
    <row r="55" spans="1:12" x14ac:dyDescent="0.2">
      <c r="A55" t="s">
        <v>30</v>
      </c>
      <c r="B55" t="s">
        <v>14</v>
      </c>
      <c r="C55" t="s">
        <v>31</v>
      </c>
      <c r="D55" t="s">
        <v>32</v>
      </c>
      <c r="E55">
        <v>1</v>
      </c>
      <c r="F55" t="s">
        <v>418</v>
      </c>
      <c r="G55">
        <v>0.47665000000000002</v>
      </c>
      <c r="H55">
        <v>3.66</v>
      </c>
      <c r="I55">
        <v>81</v>
      </c>
      <c r="J55">
        <v>0.45700000000000002</v>
      </c>
      <c r="K55">
        <v>118</v>
      </c>
      <c r="L55">
        <v>102</v>
      </c>
    </row>
    <row r="56" spans="1:12" x14ac:dyDescent="0.2">
      <c r="A56" t="s">
        <v>40</v>
      </c>
      <c r="B56" t="s">
        <v>14</v>
      </c>
      <c r="C56" t="s">
        <v>41</v>
      </c>
      <c r="D56" t="s">
        <v>32</v>
      </c>
      <c r="E56">
        <v>1</v>
      </c>
      <c r="F56" t="s">
        <v>420</v>
      </c>
      <c r="G56">
        <v>0.46666999999999997</v>
      </c>
      <c r="H56">
        <v>3.63</v>
      </c>
      <c r="I56">
        <v>60</v>
      </c>
      <c r="J56">
        <v>0.48299999999999998</v>
      </c>
      <c r="K56">
        <v>64</v>
      </c>
      <c r="L56">
        <v>64</v>
      </c>
    </row>
    <row r="57" spans="1:12" x14ac:dyDescent="0.2">
      <c r="A57" t="s">
        <v>36</v>
      </c>
      <c r="B57" t="s">
        <v>14</v>
      </c>
      <c r="C57" t="s">
        <v>37</v>
      </c>
      <c r="D57" t="s">
        <v>38</v>
      </c>
      <c r="E57">
        <v>1</v>
      </c>
      <c r="F57" t="s">
        <v>419</v>
      </c>
      <c r="G57">
        <v>0.45683000000000001</v>
      </c>
      <c r="H57">
        <v>3.88</v>
      </c>
      <c r="I57">
        <v>63</v>
      </c>
      <c r="J57">
        <v>0.69799999999999995</v>
      </c>
      <c r="K57">
        <v>80</v>
      </c>
      <c r="L57">
        <v>80</v>
      </c>
    </row>
    <row r="58" spans="1:12" x14ac:dyDescent="0.2">
      <c r="A58" t="s">
        <v>309</v>
      </c>
      <c r="B58" t="s">
        <v>19</v>
      </c>
      <c r="C58" t="s">
        <v>310</v>
      </c>
      <c r="D58" t="s">
        <v>238</v>
      </c>
      <c r="E58">
        <v>1</v>
      </c>
      <c r="F58" t="s">
        <v>473</v>
      </c>
      <c r="G58">
        <v>0.42888999999999999</v>
      </c>
      <c r="H58">
        <v>3.54</v>
      </c>
      <c r="I58">
        <v>84</v>
      </c>
      <c r="J58">
        <v>0.69</v>
      </c>
      <c r="K58">
        <v>145</v>
      </c>
      <c r="L58">
        <v>112</v>
      </c>
    </row>
    <row r="59" spans="1:12" x14ac:dyDescent="0.2">
      <c r="A59" t="s">
        <v>277</v>
      </c>
      <c r="B59" t="s">
        <v>14</v>
      </c>
      <c r="C59" t="s">
        <v>278</v>
      </c>
      <c r="D59" t="s">
        <v>279</v>
      </c>
      <c r="E59">
        <v>1</v>
      </c>
      <c r="F59" t="s">
        <v>469</v>
      </c>
      <c r="G59">
        <v>0.42716999999999999</v>
      </c>
      <c r="H59">
        <v>2.83</v>
      </c>
      <c r="I59">
        <v>83</v>
      </c>
      <c r="J59">
        <v>0.81899999999999995</v>
      </c>
      <c r="K59">
        <v>155</v>
      </c>
      <c r="L59">
        <v>89</v>
      </c>
    </row>
    <row r="60" spans="1:12" x14ac:dyDescent="0.2">
      <c r="A60" t="s">
        <v>81</v>
      </c>
      <c r="B60" t="s">
        <v>82</v>
      </c>
      <c r="C60" t="s">
        <v>83</v>
      </c>
      <c r="D60" t="s">
        <v>79</v>
      </c>
      <c r="E60">
        <v>1</v>
      </c>
      <c r="F60" t="s">
        <v>429</v>
      </c>
      <c r="G60">
        <v>0.42662</v>
      </c>
      <c r="H60">
        <v>4.62</v>
      </c>
      <c r="I60">
        <v>141</v>
      </c>
      <c r="J60">
        <v>0.51100000000000001</v>
      </c>
      <c r="K60">
        <v>244</v>
      </c>
      <c r="L60">
        <v>222</v>
      </c>
    </row>
    <row r="61" spans="1:12" x14ac:dyDescent="0.2">
      <c r="A61" t="s">
        <v>196</v>
      </c>
      <c r="B61" t="s">
        <v>197</v>
      </c>
      <c r="C61" t="s">
        <v>148</v>
      </c>
      <c r="D61" t="s">
        <v>133</v>
      </c>
      <c r="E61">
        <v>0</v>
      </c>
      <c r="F61" t="s">
        <v>454</v>
      </c>
    </row>
    <row r="62" spans="1:12" x14ac:dyDescent="0.2">
      <c r="A62" t="s">
        <v>236</v>
      </c>
      <c r="B62" t="s">
        <v>19</v>
      </c>
      <c r="C62" t="s">
        <v>237</v>
      </c>
      <c r="D62" t="s">
        <v>238</v>
      </c>
      <c r="E62">
        <v>1</v>
      </c>
      <c r="F62" t="s">
        <v>461</v>
      </c>
      <c r="G62">
        <v>0.42559000000000002</v>
      </c>
      <c r="H62">
        <v>1.76</v>
      </c>
      <c r="I62">
        <v>25</v>
      </c>
      <c r="J62">
        <v>1</v>
      </c>
      <c r="K62">
        <v>51</v>
      </c>
      <c r="L62">
        <v>27</v>
      </c>
    </row>
    <row r="63" spans="1:12" x14ac:dyDescent="0.2">
      <c r="A63" t="s">
        <v>76</v>
      </c>
      <c r="B63" t="s">
        <v>77</v>
      </c>
      <c r="C63" t="s">
        <v>78</v>
      </c>
      <c r="D63" t="s">
        <v>79</v>
      </c>
      <c r="E63">
        <v>1</v>
      </c>
      <c r="F63" t="s">
        <v>429</v>
      </c>
      <c r="G63">
        <v>0.41221000000000002</v>
      </c>
      <c r="H63">
        <v>4.3099999999999996</v>
      </c>
      <c r="I63">
        <v>130</v>
      </c>
      <c r="J63">
        <v>0.623</v>
      </c>
      <c r="K63">
        <v>238</v>
      </c>
      <c r="L63">
        <v>226</v>
      </c>
    </row>
    <row r="64" spans="1:12" x14ac:dyDescent="0.2">
      <c r="A64" t="s">
        <v>206</v>
      </c>
      <c r="B64" t="s">
        <v>154</v>
      </c>
      <c r="C64" t="s">
        <v>207</v>
      </c>
      <c r="D64" t="s">
        <v>208</v>
      </c>
      <c r="E64">
        <v>0</v>
      </c>
      <c r="F64" t="s">
        <v>456</v>
      </c>
    </row>
    <row r="65" spans="1:12" x14ac:dyDescent="0.2">
      <c r="A65" t="s">
        <v>199</v>
      </c>
      <c r="B65" t="s">
        <v>200</v>
      </c>
      <c r="C65" t="s">
        <v>152</v>
      </c>
      <c r="D65" t="s">
        <v>201</v>
      </c>
      <c r="E65">
        <v>1</v>
      </c>
      <c r="F65" t="s">
        <v>454</v>
      </c>
      <c r="G65">
        <v>0.38696999999999998</v>
      </c>
      <c r="H65">
        <v>3.7</v>
      </c>
      <c r="I65">
        <v>57</v>
      </c>
      <c r="J65">
        <v>0.70199999999999996</v>
      </c>
      <c r="K65">
        <v>93</v>
      </c>
      <c r="L65">
        <v>80</v>
      </c>
    </row>
    <row r="66" spans="1:12" x14ac:dyDescent="0.2">
      <c r="A66" t="s">
        <v>267</v>
      </c>
      <c r="B66" t="s">
        <v>19</v>
      </c>
      <c r="C66" t="s">
        <v>257</v>
      </c>
      <c r="D66" t="s">
        <v>217</v>
      </c>
      <c r="E66">
        <v>1</v>
      </c>
      <c r="F66" t="s">
        <v>466</v>
      </c>
      <c r="G66">
        <v>0.38114999999999999</v>
      </c>
      <c r="H66">
        <v>6.1</v>
      </c>
      <c r="I66">
        <v>250</v>
      </c>
      <c r="J66">
        <v>0.46</v>
      </c>
      <c r="K66">
        <v>441</v>
      </c>
      <c r="L66">
        <v>379</v>
      </c>
    </row>
    <row r="67" spans="1:12" x14ac:dyDescent="0.2">
      <c r="A67" t="s">
        <v>289</v>
      </c>
      <c r="B67" t="s">
        <v>26</v>
      </c>
      <c r="C67" t="s">
        <v>290</v>
      </c>
      <c r="D67" t="s">
        <v>241</v>
      </c>
      <c r="E67">
        <v>1</v>
      </c>
      <c r="F67" t="s">
        <v>471</v>
      </c>
      <c r="G67">
        <v>0.37218000000000001</v>
      </c>
      <c r="H67">
        <v>5.3</v>
      </c>
      <c r="I67">
        <v>109</v>
      </c>
      <c r="J67">
        <v>0.67900000000000005</v>
      </c>
      <c r="K67">
        <v>170</v>
      </c>
      <c r="L67">
        <v>169</v>
      </c>
    </row>
    <row r="68" spans="1:12" x14ac:dyDescent="0.2">
      <c r="A68" t="s">
        <v>219</v>
      </c>
      <c r="B68" t="s">
        <v>14</v>
      </c>
      <c r="C68" t="s">
        <v>220</v>
      </c>
      <c r="D68" t="s">
        <v>221</v>
      </c>
      <c r="E68">
        <v>0</v>
      </c>
      <c r="F68" t="s">
        <v>459</v>
      </c>
    </row>
    <row r="69" spans="1:12" x14ac:dyDescent="0.2">
      <c r="A69" t="s">
        <v>179</v>
      </c>
      <c r="B69" t="s">
        <v>26</v>
      </c>
      <c r="C69" t="s">
        <v>46</v>
      </c>
      <c r="D69" t="s">
        <v>180</v>
      </c>
      <c r="E69">
        <v>1</v>
      </c>
      <c r="F69" t="s">
        <v>449</v>
      </c>
      <c r="G69">
        <v>0.36696000000000001</v>
      </c>
      <c r="H69">
        <v>3.61</v>
      </c>
      <c r="I69">
        <v>49</v>
      </c>
      <c r="J69">
        <v>0.40799999999999997</v>
      </c>
      <c r="K69">
        <v>80</v>
      </c>
      <c r="L69">
        <v>77</v>
      </c>
    </row>
    <row r="70" spans="1:12" x14ac:dyDescent="0.2">
      <c r="A70" t="s">
        <v>226</v>
      </c>
      <c r="B70" t="s">
        <v>82</v>
      </c>
      <c r="C70" t="s">
        <v>227</v>
      </c>
      <c r="D70" t="s">
        <v>221</v>
      </c>
      <c r="E70">
        <v>0</v>
      </c>
      <c r="F70" t="s">
        <v>460</v>
      </c>
    </row>
    <row r="71" spans="1:12" x14ac:dyDescent="0.2">
      <c r="A71" t="s">
        <v>168</v>
      </c>
      <c r="B71" t="s">
        <v>14</v>
      </c>
      <c r="C71" t="s">
        <v>169</v>
      </c>
      <c r="D71" t="s">
        <v>170</v>
      </c>
      <c r="E71">
        <v>1</v>
      </c>
      <c r="F71" t="s">
        <v>446</v>
      </c>
      <c r="G71">
        <v>0.3659</v>
      </c>
      <c r="H71">
        <v>2.58</v>
      </c>
      <c r="I71">
        <v>34</v>
      </c>
      <c r="J71">
        <v>0.91200000000000003</v>
      </c>
      <c r="K71">
        <v>75</v>
      </c>
      <c r="L71">
        <v>75</v>
      </c>
    </row>
    <row r="72" spans="1:12" x14ac:dyDescent="0.2">
      <c r="A72" t="s">
        <v>233</v>
      </c>
      <c r="B72" t="s">
        <v>14</v>
      </c>
      <c r="C72" t="s">
        <v>234</v>
      </c>
      <c r="D72" t="s">
        <v>208</v>
      </c>
      <c r="E72">
        <v>0</v>
      </c>
      <c r="F72" t="s">
        <v>461</v>
      </c>
    </row>
    <row r="73" spans="1:12" x14ac:dyDescent="0.2">
      <c r="A73" t="s">
        <v>303</v>
      </c>
      <c r="B73" t="s">
        <v>26</v>
      </c>
      <c r="C73" t="s">
        <v>304</v>
      </c>
      <c r="D73" t="s">
        <v>305</v>
      </c>
      <c r="E73">
        <v>1</v>
      </c>
      <c r="F73" t="s">
        <v>472</v>
      </c>
      <c r="G73">
        <v>0.36121999999999999</v>
      </c>
      <c r="H73">
        <v>4.47</v>
      </c>
      <c r="I73">
        <v>61</v>
      </c>
      <c r="J73">
        <v>0.23</v>
      </c>
      <c r="K73">
        <v>92</v>
      </c>
      <c r="L73">
        <v>92</v>
      </c>
    </row>
    <row r="74" spans="1:12" x14ac:dyDescent="0.2">
      <c r="A74" t="s">
        <v>223</v>
      </c>
      <c r="B74" t="s">
        <v>19</v>
      </c>
      <c r="C74" t="s">
        <v>224</v>
      </c>
      <c r="D74" t="s">
        <v>225</v>
      </c>
      <c r="E74">
        <v>1</v>
      </c>
      <c r="F74" t="s">
        <v>459</v>
      </c>
      <c r="G74">
        <v>0.35893999999999998</v>
      </c>
      <c r="H74">
        <v>4.16</v>
      </c>
      <c r="I74">
        <v>62</v>
      </c>
      <c r="J74">
        <v>6.5000000000000002E-2</v>
      </c>
      <c r="K74">
        <v>93</v>
      </c>
      <c r="L74">
        <v>91</v>
      </c>
    </row>
    <row r="75" spans="1:12" x14ac:dyDescent="0.2">
      <c r="A75" t="s">
        <v>243</v>
      </c>
      <c r="B75" t="s">
        <v>26</v>
      </c>
      <c r="C75" t="s">
        <v>244</v>
      </c>
      <c r="D75" t="s">
        <v>241</v>
      </c>
      <c r="E75">
        <v>1</v>
      </c>
      <c r="F75" t="s">
        <v>462</v>
      </c>
      <c r="G75">
        <v>0.35813</v>
      </c>
      <c r="H75">
        <v>4.88</v>
      </c>
      <c r="I75">
        <v>104</v>
      </c>
      <c r="J75">
        <v>0.45200000000000001</v>
      </c>
      <c r="K75">
        <v>185</v>
      </c>
      <c r="L75">
        <v>185</v>
      </c>
    </row>
    <row r="76" spans="1:12" x14ac:dyDescent="0.2">
      <c r="A76" t="s">
        <v>245</v>
      </c>
      <c r="B76" t="s">
        <v>246</v>
      </c>
      <c r="C76" t="s">
        <v>247</v>
      </c>
      <c r="D76" t="s">
        <v>241</v>
      </c>
      <c r="E76">
        <v>0</v>
      </c>
      <c r="F76" t="s">
        <v>462</v>
      </c>
    </row>
    <row r="77" spans="1:12" x14ac:dyDescent="0.2">
      <c r="A77" t="s">
        <v>248</v>
      </c>
      <c r="B77" t="s">
        <v>249</v>
      </c>
      <c r="C77" t="s">
        <v>250</v>
      </c>
      <c r="D77" t="s">
        <v>251</v>
      </c>
      <c r="E77">
        <v>0</v>
      </c>
      <c r="F77" t="s">
        <v>463</v>
      </c>
    </row>
    <row r="78" spans="1:12" x14ac:dyDescent="0.2">
      <c r="A78" t="s">
        <v>311</v>
      </c>
      <c r="B78" t="s">
        <v>26</v>
      </c>
      <c r="C78" t="s">
        <v>312</v>
      </c>
      <c r="D78" t="s">
        <v>217</v>
      </c>
      <c r="E78">
        <v>1</v>
      </c>
      <c r="F78" t="s">
        <v>474</v>
      </c>
      <c r="G78">
        <v>0.34650999999999998</v>
      </c>
      <c r="H78">
        <v>4.53</v>
      </c>
      <c r="I78">
        <v>68</v>
      </c>
      <c r="J78">
        <v>0.441</v>
      </c>
      <c r="K78">
        <v>120</v>
      </c>
      <c r="L78">
        <v>115</v>
      </c>
    </row>
    <row r="79" spans="1:12" x14ac:dyDescent="0.2">
      <c r="A79" t="s">
        <v>292</v>
      </c>
      <c r="B79" t="s">
        <v>26</v>
      </c>
      <c r="C79" t="s">
        <v>293</v>
      </c>
      <c r="D79" t="s">
        <v>294</v>
      </c>
      <c r="E79">
        <v>1</v>
      </c>
      <c r="F79" t="s">
        <v>472</v>
      </c>
      <c r="G79">
        <v>0.34483000000000003</v>
      </c>
      <c r="H79">
        <v>4.1500000000000004</v>
      </c>
      <c r="I79">
        <v>56</v>
      </c>
      <c r="J79">
        <v>3.5999999999999997E-2</v>
      </c>
      <c r="K79">
        <v>93</v>
      </c>
      <c r="L79">
        <v>93</v>
      </c>
    </row>
    <row r="80" spans="1:12" x14ac:dyDescent="0.2">
      <c r="A80" t="s">
        <v>259</v>
      </c>
      <c r="B80" t="s">
        <v>260</v>
      </c>
      <c r="C80" t="s">
        <v>261</v>
      </c>
      <c r="D80" t="s">
        <v>251</v>
      </c>
      <c r="E80">
        <v>0</v>
      </c>
      <c r="F80" t="s">
        <v>465</v>
      </c>
    </row>
    <row r="81" spans="1:12" x14ac:dyDescent="0.2">
      <c r="A81" t="s">
        <v>153</v>
      </c>
      <c r="B81" t="s">
        <v>154</v>
      </c>
      <c r="C81" t="s">
        <v>152</v>
      </c>
      <c r="D81" t="s">
        <v>38</v>
      </c>
      <c r="E81">
        <v>1</v>
      </c>
      <c r="F81" t="s">
        <v>444</v>
      </c>
      <c r="G81">
        <v>0.31384000000000001</v>
      </c>
      <c r="H81">
        <v>3.63</v>
      </c>
      <c r="I81">
        <v>46</v>
      </c>
      <c r="J81">
        <v>4.2999999999999997E-2</v>
      </c>
      <c r="K81">
        <v>93</v>
      </c>
      <c r="L81">
        <v>81</v>
      </c>
    </row>
    <row r="82" spans="1:12" x14ac:dyDescent="0.2">
      <c r="A82" t="s">
        <v>265</v>
      </c>
      <c r="B82" t="s">
        <v>14</v>
      </c>
      <c r="C82" t="s">
        <v>261</v>
      </c>
      <c r="D82" t="s">
        <v>251</v>
      </c>
      <c r="E82">
        <v>0</v>
      </c>
      <c r="F82" t="s">
        <v>466</v>
      </c>
    </row>
    <row r="83" spans="1:12" x14ac:dyDescent="0.2">
      <c r="A83" t="s">
        <v>272</v>
      </c>
      <c r="B83" t="s">
        <v>14</v>
      </c>
      <c r="C83" t="s">
        <v>269</v>
      </c>
      <c r="D83" t="s">
        <v>238</v>
      </c>
      <c r="E83">
        <v>1</v>
      </c>
      <c r="F83" t="s">
        <v>467</v>
      </c>
      <c r="G83">
        <v>0.31375999999999998</v>
      </c>
      <c r="H83">
        <v>3.43</v>
      </c>
      <c r="I83">
        <v>44</v>
      </c>
      <c r="J83">
        <v>0.61399999999999999</v>
      </c>
      <c r="K83">
        <v>95</v>
      </c>
      <c r="L83">
        <v>91</v>
      </c>
    </row>
    <row r="84" spans="1:12" x14ac:dyDescent="0.2">
      <c r="A84" t="s">
        <v>189</v>
      </c>
      <c r="B84" t="s">
        <v>14</v>
      </c>
      <c r="C84" t="s">
        <v>190</v>
      </c>
      <c r="D84" t="s">
        <v>191</v>
      </c>
      <c r="E84">
        <v>1</v>
      </c>
      <c r="F84" t="s">
        <v>452</v>
      </c>
      <c r="G84">
        <v>0.30736000000000002</v>
      </c>
      <c r="H84">
        <v>4.57</v>
      </c>
      <c r="I84">
        <v>75</v>
      </c>
      <c r="J84">
        <v>9.2999999999999999E-2</v>
      </c>
      <c r="K84">
        <v>158</v>
      </c>
      <c r="L84">
        <v>158</v>
      </c>
    </row>
    <row r="85" spans="1:12" x14ac:dyDescent="0.2">
      <c r="A85" t="s">
        <v>229</v>
      </c>
      <c r="B85" t="s">
        <v>230</v>
      </c>
      <c r="C85" t="s">
        <v>231</v>
      </c>
      <c r="D85" t="s">
        <v>232</v>
      </c>
      <c r="E85">
        <v>1</v>
      </c>
      <c r="F85" t="s">
        <v>460</v>
      </c>
      <c r="G85">
        <v>0.30623</v>
      </c>
      <c r="H85">
        <v>4.5999999999999996</v>
      </c>
      <c r="I85">
        <v>58</v>
      </c>
      <c r="J85">
        <v>5.1999999999999998E-2</v>
      </c>
      <c r="K85">
        <v>95</v>
      </c>
      <c r="L85">
        <v>91</v>
      </c>
    </row>
    <row r="86" spans="1:12" x14ac:dyDescent="0.2">
      <c r="A86" t="s">
        <v>193</v>
      </c>
      <c r="B86" t="s">
        <v>14</v>
      </c>
      <c r="C86" t="s">
        <v>194</v>
      </c>
      <c r="D86" t="s">
        <v>140</v>
      </c>
      <c r="E86">
        <v>1</v>
      </c>
      <c r="F86" t="s">
        <v>453</v>
      </c>
      <c r="G86">
        <v>0.30260999999999999</v>
      </c>
      <c r="H86">
        <v>4.87</v>
      </c>
      <c r="I86">
        <v>75</v>
      </c>
      <c r="J86">
        <v>0.04</v>
      </c>
      <c r="K86">
        <v>143</v>
      </c>
      <c r="L86">
        <v>143</v>
      </c>
    </row>
    <row r="87" spans="1:12" x14ac:dyDescent="0.2">
      <c r="A87" t="s">
        <v>21</v>
      </c>
      <c r="B87" t="s">
        <v>14</v>
      </c>
      <c r="C87" t="s">
        <v>22</v>
      </c>
      <c r="D87" t="s">
        <v>23</v>
      </c>
      <c r="E87">
        <v>1</v>
      </c>
      <c r="F87" t="s">
        <v>416</v>
      </c>
      <c r="G87">
        <v>0.30002000000000001</v>
      </c>
      <c r="H87">
        <v>3.72</v>
      </c>
      <c r="I87">
        <v>36</v>
      </c>
      <c r="J87">
        <v>0.13900000000000001</v>
      </c>
      <c r="K87">
        <v>60</v>
      </c>
      <c r="L87">
        <v>60</v>
      </c>
    </row>
    <row r="88" spans="1:12" x14ac:dyDescent="0.2">
      <c r="A88" t="s">
        <v>57</v>
      </c>
      <c r="B88" t="s">
        <v>14</v>
      </c>
      <c r="C88" t="s">
        <v>58</v>
      </c>
      <c r="D88" t="s">
        <v>59</v>
      </c>
      <c r="E88">
        <v>1</v>
      </c>
      <c r="F88" t="s">
        <v>424</v>
      </c>
      <c r="G88">
        <v>0.28986000000000001</v>
      </c>
      <c r="H88">
        <v>4.4000000000000004</v>
      </c>
      <c r="I88">
        <v>62</v>
      </c>
      <c r="J88">
        <v>0.30599999999999999</v>
      </c>
      <c r="K88">
        <v>127</v>
      </c>
      <c r="L88">
        <v>115</v>
      </c>
    </row>
    <row r="89" spans="1:12" x14ac:dyDescent="0.2">
      <c r="A89" t="s">
        <v>163</v>
      </c>
      <c r="B89" t="s">
        <v>164</v>
      </c>
      <c r="C89" t="s">
        <v>152</v>
      </c>
      <c r="D89" t="s">
        <v>38</v>
      </c>
      <c r="E89">
        <v>1</v>
      </c>
      <c r="F89" t="s">
        <v>445</v>
      </c>
      <c r="G89">
        <v>0.28982000000000002</v>
      </c>
      <c r="H89">
        <v>2.87</v>
      </c>
      <c r="I89">
        <v>38</v>
      </c>
      <c r="J89">
        <v>7.9000000000000001E-2</v>
      </c>
      <c r="K89">
        <v>93</v>
      </c>
      <c r="L89">
        <v>70</v>
      </c>
    </row>
    <row r="90" spans="1:12" x14ac:dyDescent="0.2">
      <c r="A90" t="s">
        <v>215</v>
      </c>
      <c r="B90" t="s">
        <v>14</v>
      </c>
      <c r="C90" t="s">
        <v>216</v>
      </c>
      <c r="D90" t="s">
        <v>217</v>
      </c>
      <c r="E90">
        <v>1</v>
      </c>
      <c r="F90" t="s">
        <v>458</v>
      </c>
      <c r="G90">
        <v>0.28622999999999998</v>
      </c>
      <c r="H90">
        <v>4.7300000000000004</v>
      </c>
      <c r="I90">
        <v>58</v>
      </c>
      <c r="J90">
        <v>5.1999999999999998E-2</v>
      </c>
      <c r="K90">
        <v>114</v>
      </c>
      <c r="L90">
        <v>113</v>
      </c>
    </row>
    <row r="91" spans="1:12" x14ac:dyDescent="0.2">
      <c r="A91" t="s">
        <v>202</v>
      </c>
      <c r="B91" t="s">
        <v>14</v>
      </c>
      <c r="C91" t="s">
        <v>203</v>
      </c>
      <c r="D91" t="s">
        <v>204</v>
      </c>
      <c r="E91">
        <v>1</v>
      </c>
      <c r="F91" t="s">
        <v>455</v>
      </c>
      <c r="G91">
        <v>0.28098000000000001</v>
      </c>
      <c r="H91">
        <v>4.76</v>
      </c>
      <c r="I91">
        <v>61</v>
      </c>
      <c r="J91">
        <v>0.47499999999999998</v>
      </c>
      <c r="K91">
        <v>125</v>
      </c>
      <c r="L91">
        <v>124</v>
      </c>
    </row>
    <row r="92" spans="1:12" x14ac:dyDescent="0.2">
      <c r="A92" t="s">
        <v>239</v>
      </c>
      <c r="B92" t="s">
        <v>14</v>
      </c>
      <c r="C92" t="s">
        <v>240</v>
      </c>
      <c r="D92" t="s">
        <v>241</v>
      </c>
      <c r="E92">
        <v>1</v>
      </c>
      <c r="F92" t="s">
        <v>462</v>
      </c>
      <c r="G92">
        <v>0.27176</v>
      </c>
      <c r="H92">
        <v>6.07</v>
      </c>
      <c r="I92">
        <v>122</v>
      </c>
      <c r="J92">
        <v>7.3999999999999996E-2</v>
      </c>
      <c r="K92">
        <v>267</v>
      </c>
      <c r="L92">
        <v>209</v>
      </c>
    </row>
    <row r="93" spans="1:12" x14ac:dyDescent="0.2">
      <c r="A93" t="s">
        <v>291</v>
      </c>
      <c r="B93" t="s">
        <v>68</v>
      </c>
      <c r="C93" t="s">
        <v>290</v>
      </c>
      <c r="D93" t="s">
        <v>241</v>
      </c>
      <c r="E93">
        <v>0</v>
      </c>
      <c r="F93" t="s">
        <v>471</v>
      </c>
    </row>
    <row r="94" spans="1:12" x14ac:dyDescent="0.2">
      <c r="A94" t="s">
        <v>286</v>
      </c>
      <c r="B94" t="s">
        <v>14</v>
      </c>
      <c r="C94" t="s">
        <v>287</v>
      </c>
      <c r="D94" t="s">
        <v>241</v>
      </c>
      <c r="E94">
        <v>1</v>
      </c>
      <c r="F94" t="s">
        <v>471</v>
      </c>
      <c r="G94">
        <v>0.26844000000000001</v>
      </c>
      <c r="H94">
        <v>4.3899999999999997</v>
      </c>
      <c r="I94">
        <v>48</v>
      </c>
      <c r="J94">
        <v>0.104</v>
      </c>
      <c r="K94">
        <v>95</v>
      </c>
      <c r="L94">
        <v>89</v>
      </c>
    </row>
    <row r="95" spans="1:12" x14ac:dyDescent="0.2">
      <c r="A95" t="s">
        <v>210</v>
      </c>
      <c r="B95" t="s">
        <v>136</v>
      </c>
      <c r="C95" t="s">
        <v>152</v>
      </c>
      <c r="D95" t="s">
        <v>38</v>
      </c>
      <c r="E95">
        <v>1</v>
      </c>
      <c r="F95" t="s">
        <v>456</v>
      </c>
      <c r="G95">
        <v>0.25747999999999999</v>
      </c>
      <c r="H95">
        <v>3.55</v>
      </c>
      <c r="I95">
        <v>40</v>
      </c>
      <c r="J95">
        <v>0.05</v>
      </c>
      <c r="K95">
        <v>94</v>
      </c>
      <c r="L95">
        <v>74</v>
      </c>
    </row>
    <row r="96" spans="1:12" x14ac:dyDescent="0.2">
      <c r="A96" t="s">
        <v>45</v>
      </c>
      <c r="B96" t="s">
        <v>14</v>
      </c>
      <c r="C96" t="s">
        <v>46</v>
      </c>
      <c r="D96" t="s">
        <v>47</v>
      </c>
      <c r="E96">
        <v>1</v>
      </c>
      <c r="F96" t="s">
        <v>421</v>
      </c>
      <c r="G96">
        <v>0.24790999999999999</v>
      </c>
      <c r="H96">
        <v>4.07</v>
      </c>
      <c r="I96">
        <v>43</v>
      </c>
      <c r="J96">
        <v>0.30199999999999999</v>
      </c>
      <c r="K96">
        <v>98</v>
      </c>
      <c r="L96">
        <v>79</v>
      </c>
    </row>
    <row r="97" spans="1:12" x14ac:dyDescent="0.2">
      <c r="A97" t="s">
        <v>314</v>
      </c>
      <c r="B97" t="s">
        <v>14</v>
      </c>
      <c r="C97" t="s">
        <v>315</v>
      </c>
      <c r="D97" t="s">
        <v>16</v>
      </c>
      <c r="E97">
        <v>1</v>
      </c>
      <c r="F97" t="s">
        <v>475</v>
      </c>
      <c r="G97">
        <v>0.23483000000000001</v>
      </c>
      <c r="H97">
        <v>5.43</v>
      </c>
      <c r="I97">
        <v>91</v>
      </c>
      <c r="J97">
        <v>5.5E-2</v>
      </c>
      <c r="K97">
        <v>239</v>
      </c>
      <c r="L97">
        <v>185</v>
      </c>
    </row>
    <row r="98" spans="1:12" x14ac:dyDescent="0.2">
      <c r="A98" t="s">
        <v>61</v>
      </c>
      <c r="B98" t="s">
        <v>14</v>
      </c>
      <c r="C98" t="s">
        <v>62</v>
      </c>
      <c r="D98" t="s">
        <v>59</v>
      </c>
      <c r="E98">
        <v>1</v>
      </c>
      <c r="F98" t="s">
        <v>425</v>
      </c>
      <c r="G98">
        <v>0.22026000000000001</v>
      </c>
      <c r="H98">
        <v>4.7</v>
      </c>
      <c r="I98">
        <v>54</v>
      </c>
      <c r="J98">
        <v>3.6999999999999998E-2</v>
      </c>
      <c r="K98">
        <v>150</v>
      </c>
      <c r="L98">
        <v>113</v>
      </c>
    </row>
    <row r="99" spans="1:12" x14ac:dyDescent="0.2">
      <c r="A99" t="s">
        <v>306</v>
      </c>
      <c r="B99" t="s">
        <v>14</v>
      </c>
      <c r="C99" t="s">
        <v>307</v>
      </c>
      <c r="D99" t="s">
        <v>208</v>
      </c>
      <c r="E99">
        <v>0</v>
      </c>
      <c r="F99" t="s">
        <v>473</v>
      </c>
    </row>
    <row r="100" spans="1:12" x14ac:dyDescent="0.2">
      <c r="A100" t="s">
        <v>121</v>
      </c>
      <c r="B100" t="s">
        <v>26</v>
      </c>
      <c r="C100" t="s">
        <v>122</v>
      </c>
      <c r="D100" t="s">
        <v>59</v>
      </c>
      <c r="E100">
        <v>1</v>
      </c>
      <c r="F100" t="s">
        <v>438</v>
      </c>
      <c r="G100">
        <v>0.20608000000000001</v>
      </c>
      <c r="H100">
        <v>4.7699999999999996</v>
      </c>
      <c r="I100">
        <v>40</v>
      </c>
      <c r="J100">
        <v>2.5000000000000001E-2</v>
      </c>
      <c r="K100">
        <v>91</v>
      </c>
      <c r="L100">
        <v>77</v>
      </c>
    </row>
    <row r="101" spans="1:12" x14ac:dyDescent="0.2">
      <c r="A101" t="s">
        <v>135</v>
      </c>
      <c r="B101" t="s">
        <v>136</v>
      </c>
      <c r="C101" t="s">
        <v>137</v>
      </c>
      <c r="D101" t="s">
        <v>47</v>
      </c>
      <c r="E101">
        <v>1</v>
      </c>
      <c r="F101" t="s">
        <v>441</v>
      </c>
    </row>
    <row r="102" spans="1:12" x14ac:dyDescent="0.2">
      <c r="A102" t="s">
        <v>281</v>
      </c>
      <c r="B102" t="s">
        <v>35</v>
      </c>
      <c r="C102" t="s">
        <v>282</v>
      </c>
      <c r="D102" t="s">
        <v>59</v>
      </c>
      <c r="E102">
        <v>1</v>
      </c>
      <c r="F102" t="s">
        <v>470</v>
      </c>
    </row>
    <row r="103" spans="1:12" x14ac:dyDescent="0.2">
      <c r="A103" t="s">
        <v>317</v>
      </c>
      <c r="B103" t="s">
        <v>14</v>
      </c>
      <c r="C103" t="s">
        <v>318</v>
      </c>
      <c r="D103" t="s">
        <v>319</v>
      </c>
      <c r="E103">
        <v>0</v>
      </c>
      <c r="F103" t="s">
        <v>476</v>
      </c>
    </row>
    <row r="104" spans="1:12" x14ac:dyDescent="0.2">
      <c r="A104" t="s">
        <v>284</v>
      </c>
      <c r="B104" t="s">
        <v>26</v>
      </c>
      <c r="C104" t="s">
        <v>285</v>
      </c>
      <c r="D104" t="s">
        <v>59</v>
      </c>
      <c r="E104">
        <v>1</v>
      </c>
      <c r="F104" t="s">
        <v>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C231-15B7-8740-B9D6-3224B1323815}">
  <dimension ref="A1:L104"/>
  <sheetViews>
    <sheetView workbookViewId="0">
      <selection activeCell="K11" sqref="K11"/>
    </sheetView>
  </sheetViews>
  <sheetFormatPr baseColWidth="10" defaultRowHeight="16" x14ac:dyDescent="0.2"/>
  <cols>
    <col min="1" max="1" width="8.33203125" bestFit="1" customWidth="1"/>
    <col min="2" max="2" width="7.1640625" customWidth="1"/>
    <col min="3" max="3" width="19.5" customWidth="1"/>
    <col min="4" max="4" width="12.33203125" customWidth="1"/>
    <col min="5" max="5" width="7.5" bestFit="1" customWidth="1"/>
    <col min="6" max="6" width="10.33203125" customWidth="1"/>
    <col min="7" max="7" width="8.83203125" bestFit="1" customWidth="1"/>
    <col min="8" max="8" width="6.1640625" bestFit="1" customWidth="1"/>
    <col min="9" max="9" width="12.83203125" bestFit="1" customWidth="1"/>
    <col min="10" max="10" width="6.83203125" bestFit="1" customWidth="1"/>
    <col min="11" max="11" width="14" bestFit="1" customWidth="1"/>
    <col min="12" max="12" width="17.83203125" bestFit="1" customWidth="1"/>
  </cols>
  <sheetData>
    <row r="1" spans="1:12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</row>
    <row r="2" spans="1:12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0.53</v>
      </c>
      <c r="I2">
        <v>224</v>
      </c>
      <c r="J2">
        <v>1</v>
      </c>
      <c r="K2">
        <v>224</v>
      </c>
      <c r="L2">
        <v>224</v>
      </c>
    </row>
    <row r="3" spans="1:12" x14ac:dyDescent="0.2">
      <c r="A3" t="s">
        <v>18</v>
      </c>
      <c r="B3" t="s">
        <v>19</v>
      </c>
      <c r="C3" t="s">
        <v>20</v>
      </c>
      <c r="E3">
        <v>0</v>
      </c>
      <c r="F3" t="s">
        <v>415</v>
      </c>
    </row>
    <row r="4" spans="1:12" x14ac:dyDescent="0.2">
      <c r="A4" t="s">
        <v>21</v>
      </c>
      <c r="B4" t="s">
        <v>14</v>
      </c>
      <c r="C4" t="s">
        <v>22</v>
      </c>
      <c r="D4" t="s">
        <v>23</v>
      </c>
      <c r="E4">
        <v>1</v>
      </c>
      <c r="F4" t="s">
        <v>416</v>
      </c>
      <c r="G4">
        <v>0.30002000000000001</v>
      </c>
      <c r="H4">
        <v>3.72</v>
      </c>
      <c r="I4">
        <v>36</v>
      </c>
      <c r="J4">
        <v>0.13900000000000001</v>
      </c>
      <c r="K4">
        <v>60</v>
      </c>
      <c r="L4">
        <v>60</v>
      </c>
    </row>
    <row r="5" spans="1:12" x14ac:dyDescent="0.2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417</v>
      </c>
    </row>
    <row r="6" spans="1:12" x14ac:dyDescent="0.2">
      <c r="A6" t="s">
        <v>30</v>
      </c>
      <c r="B6" t="s">
        <v>14</v>
      </c>
      <c r="C6" t="s">
        <v>31</v>
      </c>
      <c r="D6" t="s">
        <v>32</v>
      </c>
      <c r="E6">
        <v>1</v>
      </c>
      <c r="F6" t="s">
        <v>418</v>
      </c>
      <c r="G6">
        <v>0.47665000000000002</v>
      </c>
      <c r="H6">
        <v>3.66</v>
      </c>
      <c r="I6">
        <v>81</v>
      </c>
      <c r="J6">
        <v>0.45700000000000002</v>
      </c>
      <c r="K6">
        <v>118</v>
      </c>
      <c r="L6">
        <v>102</v>
      </c>
    </row>
    <row r="7" spans="1:12" x14ac:dyDescent="0.2">
      <c r="A7" t="s">
        <v>34</v>
      </c>
      <c r="B7" t="s">
        <v>35</v>
      </c>
      <c r="C7" t="s">
        <v>31</v>
      </c>
      <c r="D7" t="s">
        <v>32</v>
      </c>
      <c r="E7">
        <v>1</v>
      </c>
      <c r="F7" t="s">
        <v>418</v>
      </c>
    </row>
    <row r="8" spans="1:12" x14ac:dyDescent="0.2">
      <c r="A8" t="s">
        <v>36</v>
      </c>
      <c r="B8" t="s">
        <v>14</v>
      </c>
      <c r="C8" t="s">
        <v>37</v>
      </c>
      <c r="D8" t="s">
        <v>38</v>
      </c>
      <c r="E8">
        <v>1</v>
      </c>
      <c r="F8" t="s">
        <v>419</v>
      </c>
      <c r="G8">
        <v>0.45683000000000001</v>
      </c>
      <c r="H8">
        <v>3.88</v>
      </c>
      <c r="I8">
        <v>63</v>
      </c>
      <c r="J8">
        <v>0.69799999999999995</v>
      </c>
      <c r="K8">
        <v>80</v>
      </c>
      <c r="L8">
        <v>80</v>
      </c>
    </row>
    <row r="9" spans="1:12" x14ac:dyDescent="0.2">
      <c r="A9" t="s">
        <v>40</v>
      </c>
      <c r="B9" t="s">
        <v>14</v>
      </c>
      <c r="C9" t="s">
        <v>41</v>
      </c>
      <c r="D9" t="s">
        <v>32</v>
      </c>
      <c r="E9">
        <v>1</v>
      </c>
      <c r="F9" t="s">
        <v>420</v>
      </c>
      <c r="G9">
        <v>0.46666999999999997</v>
      </c>
      <c r="H9">
        <v>3.63</v>
      </c>
      <c r="I9">
        <v>60</v>
      </c>
      <c r="J9">
        <v>0.48299999999999998</v>
      </c>
      <c r="K9">
        <v>64</v>
      </c>
      <c r="L9">
        <v>64</v>
      </c>
    </row>
    <row r="10" spans="1:12" x14ac:dyDescent="0.2">
      <c r="A10" t="s">
        <v>43</v>
      </c>
      <c r="B10" t="s">
        <v>14</v>
      </c>
      <c r="C10" t="s">
        <v>44</v>
      </c>
      <c r="D10" t="s">
        <v>32</v>
      </c>
      <c r="E10">
        <v>1</v>
      </c>
      <c r="F10" t="s">
        <v>420</v>
      </c>
      <c r="G10">
        <v>0.48946000000000001</v>
      </c>
      <c r="H10">
        <v>2.6</v>
      </c>
      <c r="I10">
        <v>45</v>
      </c>
      <c r="J10">
        <v>0.88900000000000001</v>
      </c>
      <c r="K10">
        <v>65</v>
      </c>
      <c r="L10">
        <v>65</v>
      </c>
    </row>
    <row r="11" spans="1:12" x14ac:dyDescent="0.2">
      <c r="A11" t="s">
        <v>45</v>
      </c>
      <c r="B11" t="s">
        <v>14</v>
      </c>
      <c r="C11" t="s">
        <v>46</v>
      </c>
      <c r="D11" t="s">
        <v>47</v>
      </c>
      <c r="E11">
        <v>1</v>
      </c>
      <c r="F11" t="s">
        <v>421</v>
      </c>
      <c r="G11">
        <v>0.24790999999999999</v>
      </c>
      <c r="H11">
        <v>4.07</v>
      </c>
      <c r="I11">
        <v>43</v>
      </c>
      <c r="J11">
        <v>0.30199999999999999</v>
      </c>
      <c r="K11">
        <v>98</v>
      </c>
      <c r="L11">
        <v>79</v>
      </c>
    </row>
    <row r="12" spans="1:12" x14ac:dyDescent="0.2">
      <c r="A12" t="s">
        <v>49</v>
      </c>
      <c r="B12" t="s">
        <v>14</v>
      </c>
      <c r="C12" t="s">
        <v>50</v>
      </c>
      <c r="D12" t="s">
        <v>38</v>
      </c>
      <c r="E12">
        <v>1</v>
      </c>
      <c r="F12" t="s">
        <v>421</v>
      </c>
      <c r="G12">
        <v>0.47844999999999999</v>
      </c>
      <c r="H12">
        <v>2.74</v>
      </c>
      <c r="I12">
        <v>62</v>
      </c>
      <c r="J12">
        <v>0.71</v>
      </c>
      <c r="K12">
        <v>97</v>
      </c>
      <c r="L12">
        <v>79</v>
      </c>
    </row>
    <row r="13" spans="1:12" x14ac:dyDescent="0.2">
      <c r="A13" t="s">
        <v>51</v>
      </c>
      <c r="B13" t="s">
        <v>14</v>
      </c>
      <c r="C13" t="s">
        <v>50</v>
      </c>
      <c r="D13" t="s">
        <v>38</v>
      </c>
      <c r="E13">
        <v>1</v>
      </c>
      <c r="F13" t="s">
        <v>422</v>
      </c>
      <c r="G13">
        <v>0.77305999999999997</v>
      </c>
      <c r="H13">
        <v>1.78</v>
      </c>
      <c r="I13">
        <v>65</v>
      </c>
      <c r="J13">
        <v>0.93799999999999994</v>
      </c>
      <c r="K13">
        <v>66</v>
      </c>
      <c r="L13">
        <v>66</v>
      </c>
    </row>
    <row r="14" spans="1:12" x14ac:dyDescent="0.2">
      <c r="A14" t="s">
        <v>53</v>
      </c>
      <c r="B14" t="s">
        <v>14</v>
      </c>
      <c r="C14" t="s">
        <v>54</v>
      </c>
      <c r="D14" t="s">
        <v>55</v>
      </c>
      <c r="E14">
        <v>1</v>
      </c>
      <c r="F14" t="s">
        <v>423</v>
      </c>
      <c r="G14">
        <v>0.57696000000000003</v>
      </c>
      <c r="H14">
        <v>3.07</v>
      </c>
      <c r="I14">
        <v>81</v>
      </c>
      <c r="J14">
        <v>0.67900000000000005</v>
      </c>
      <c r="K14">
        <v>95</v>
      </c>
      <c r="L14">
        <v>95</v>
      </c>
    </row>
    <row r="15" spans="1:12" x14ac:dyDescent="0.2">
      <c r="A15" t="s">
        <v>57</v>
      </c>
      <c r="B15" t="s">
        <v>14</v>
      </c>
      <c r="C15" t="s">
        <v>58</v>
      </c>
      <c r="D15" t="s">
        <v>59</v>
      </c>
      <c r="E15">
        <v>1</v>
      </c>
      <c r="F15" t="s">
        <v>424</v>
      </c>
      <c r="G15">
        <v>0.28986000000000001</v>
      </c>
      <c r="H15">
        <v>4.4000000000000004</v>
      </c>
      <c r="I15">
        <v>62</v>
      </c>
      <c r="J15">
        <v>0.30599999999999999</v>
      </c>
      <c r="K15">
        <v>127</v>
      </c>
      <c r="L15">
        <v>115</v>
      </c>
    </row>
    <row r="16" spans="1:12" x14ac:dyDescent="0.2">
      <c r="A16" t="s">
        <v>61</v>
      </c>
      <c r="B16" t="s">
        <v>14</v>
      </c>
      <c r="C16" t="s">
        <v>62</v>
      </c>
      <c r="D16" t="s">
        <v>59</v>
      </c>
      <c r="E16">
        <v>1</v>
      </c>
      <c r="F16" t="s">
        <v>425</v>
      </c>
      <c r="G16">
        <v>0.22026000000000001</v>
      </c>
      <c r="H16">
        <v>4.7</v>
      </c>
      <c r="I16">
        <v>54</v>
      </c>
      <c r="J16">
        <v>3.6999999999999998E-2</v>
      </c>
      <c r="K16">
        <v>150</v>
      </c>
      <c r="L16">
        <v>113</v>
      </c>
    </row>
    <row r="17" spans="1:12" x14ac:dyDescent="0.2">
      <c r="A17" t="s">
        <v>64</v>
      </c>
      <c r="B17" t="s">
        <v>26</v>
      </c>
      <c r="C17" t="s">
        <v>65</v>
      </c>
      <c r="D17" t="s">
        <v>16</v>
      </c>
      <c r="E17">
        <v>1</v>
      </c>
      <c r="F17" t="s">
        <v>426</v>
      </c>
    </row>
    <row r="18" spans="1:12" x14ac:dyDescent="0.2">
      <c r="A18" t="s">
        <v>67</v>
      </c>
      <c r="B18" t="s">
        <v>68</v>
      </c>
      <c r="C18" t="s">
        <v>69</v>
      </c>
      <c r="D18" t="s">
        <v>16</v>
      </c>
      <c r="E18">
        <v>0</v>
      </c>
      <c r="F18" t="s">
        <v>426</v>
      </c>
    </row>
    <row r="19" spans="1:12" x14ac:dyDescent="0.2">
      <c r="A19" t="s">
        <v>70</v>
      </c>
      <c r="B19" t="s">
        <v>14</v>
      </c>
      <c r="C19" t="s">
        <v>71</v>
      </c>
      <c r="D19" t="s">
        <v>72</v>
      </c>
      <c r="E19">
        <v>1</v>
      </c>
      <c r="F19" t="s">
        <v>427</v>
      </c>
      <c r="G19">
        <v>0.66752999999999996</v>
      </c>
      <c r="H19">
        <v>3.29</v>
      </c>
      <c r="I19">
        <v>183</v>
      </c>
      <c r="J19">
        <v>0.85799999999999998</v>
      </c>
      <c r="K19">
        <v>228</v>
      </c>
      <c r="L19">
        <v>189</v>
      </c>
    </row>
    <row r="20" spans="1:12" x14ac:dyDescent="0.2">
      <c r="A20" t="s">
        <v>74</v>
      </c>
      <c r="B20" t="s">
        <v>14</v>
      </c>
      <c r="C20" t="s">
        <v>71</v>
      </c>
      <c r="D20" t="s">
        <v>72</v>
      </c>
      <c r="E20">
        <v>1</v>
      </c>
      <c r="F20" t="s">
        <v>428</v>
      </c>
      <c r="G20">
        <v>0.66747999999999996</v>
      </c>
      <c r="H20">
        <v>3.31</v>
      </c>
      <c r="I20">
        <v>184</v>
      </c>
      <c r="J20">
        <v>0.83699999999999997</v>
      </c>
      <c r="K20">
        <v>228</v>
      </c>
      <c r="L20">
        <v>189</v>
      </c>
    </row>
    <row r="21" spans="1:12" x14ac:dyDescent="0.2">
      <c r="A21" t="s">
        <v>76</v>
      </c>
      <c r="B21" t="s">
        <v>77</v>
      </c>
      <c r="C21" t="s">
        <v>78</v>
      </c>
      <c r="D21" t="s">
        <v>79</v>
      </c>
      <c r="E21">
        <v>1</v>
      </c>
      <c r="F21" t="s">
        <v>429</v>
      </c>
    </row>
    <row r="22" spans="1:12" x14ac:dyDescent="0.2">
      <c r="A22" t="s">
        <v>81</v>
      </c>
      <c r="B22" t="s">
        <v>82</v>
      </c>
      <c r="C22" t="s">
        <v>83</v>
      </c>
      <c r="D22" t="s">
        <v>79</v>
      </c>
      <c r="E22">
        <v>1</v>
      </c>
      <c r="F22" t="s">
        <v>429</v>
      </c>
    </row>
    <row r="23" spans="1:12" x14ac:dyDescent="0.2">
      <c r="A23" t="s">
        <v>84</v>
      </c>
      <c r="B23" t="s">
        <v>77</v>
      </c>
      <c r="C23" t="s">
        <v>85</v>
      </c>
      <c r="D23" t="s">
        <v>86</v>
      </c>
      <c r="E23">
        <v>1</v>
      </c>
      <c r="F23" t="s">
        <v>430</v>
      </c>
    </row>
    <row r="24" spans="1:12" x14ac:dyDescent="0.2">
      <c r="A24" t="s">
        <v>88</v>
      </c>
      <c r="B24" t="s">
        <v>77</v>
      </c>
      <c r="C24" t="s">
        <v>85</v>
      </c>
      <c r="D24" t="s">
        <v>86</v>
      </c>
      <c r="E24">
        <v>1</v>
      </c>
      <c r="F24" t="s">
        <v>430</v>
      </c>
    </row>
    <row r="25" spans="1:12" x14ac:dyDescent="0.2">
      <c r="A25" t="s">
        <v>89</v>
      </c>
      <c r="B25" t="s">
        <v>14</v>
      </c>
      <c r="C25" t="s">
        <v>90</v>
      </c>
      <c r="D25" t="s">
        <v>91</v>
      </c>
      <c r="E25">
        <v>1</v>
      </c>
      <c r="F25" t="s">
        <v>427</v>
      </c>
      <c r="G25">
        <v>0.79468000000000005</v>
      </c>
      <c r="H25">
        <v>2.1800000000000002</v>
      </c>
      <c r="I25">
        <v>74</v>
      </c>
      <c r="J25">
        <v>1</v>
      </c>
      <c r="K25">
        <v>80</v>
      </c>
      <c r="L25">
        <v>77</v>
      </c>
    </row>
    <row r="26" spans="1:12" x14ac:dyDescent="0.2">
      <c r="A26" t="s">
        <v>92</v>
      </c>
      <c r="B26" t="s">
        <v>19</v>
      </c>
      <c r="C26" t="s">
        <v>93</v>
      </c>
      <c r="D26" t="s">
        <v>91</v>
      </c>
      <c r="E26">
        <v>1</v>
      </c>
      <c r="F26" t="s">
        <v>427</v>
      </c>
      <c r="G26">
        <v>0.86446999999999996</v>
      </c>
      <c r="H26">
        <v>0.83</v>
      </c>
      <c r="I26">
        <v>74</v>
      </c>
      <c r="J26">
        <v>1</v>
      </c>
      <c r="K26">
        <v>81</v>
      </c>
      <c r="L26">
        <v>74</v>
      </c>
    </row>
    <row r="27" spans="1:12" x14ac:dyDescent="0.2">
      <c r="A27" t="s">
        <v>94</v>
      </c>
      <c r="B27" t="s">
        <v>26</v>
      </c>
      <c r="C27" t="s">
        <v>95</v>
      </c>
      <c r="D27" t="s">
        <v>96</v>
      </c>
      <c r="E27">
        <v>1</v>
      </c>
      <c r="F27" t="s">
        <v>431</v>
      </c>
    </row>
    <row r="28" spans="1:12" x14ac:dyDescent="0.2">
      <c r="A28" t="s">
        <v>98</v>
      </c>
      <c r="B28" t="s">
        <v>26</v>
      </c>
      <c r="C28" t="s">
        <v>99</v>
      </c>
      <c r="D28" t="s">
        <v>100</v>
      </c>
      <c r="E28">
        <v>0</v>
      </c>
      <c r="F28" t="s">
        <v>432</v>
      </c>
    </row>
    <row r="29" spans="1:12" x14ac:dyDescent="0.2">
      <c r="A29" t="s">
        <v>102</v>
      </c>
      <c r="B29" t="s">
        <v>68</v>
      </c>
      <c r="C29" t="s">
        <v>103</v>
      </c>
      <c r="D29" t="s">
        <v>104</v>
      </c>
      <c r="E29">
        <v>1</v>
      </c>
      <c r="F29" t="s">
        <v>432</v>
      </c>
      <c r="G29">
        <v>0.73897999999999997</v>
      </c>
      <c r="H29">
        <v>1.89</v>
      </c>
      <c r="I29">
        <v>78</v>
      </c>
      <c r="J29">
        <v>0.84599999999999997</v>
      </c>
      <c r="K29">
        <v>93</v>
      </c>
      <c r="L29">
        <v>83</v>
      </c>
    </row>
    <row r="30" spans="1:12" x14ac:dyDescent="0.2">
      <c r="A30" t="s">
        <v>105</v>
      </c>
      <c r="B30" t="s">
        <v>26</v>
      </c>
      <c r="C30" t="s">
        <v>106</v>
      </c>
      <c r="D30" t="s">
        <v>38</v>
      </c>
      <c r="E30">
        <v>1</v>
      </c>
      <c r="F30" t="s">
        <v>433</v>
      </c>
    </row>
    <row r="31" spans="1:12" x14ac:dyDescent="0.2">
      <c r="A31" t="s">
        <v>108</v>
      </c>
      <c r="B31" t="s">
        <v>26</v>
      </c>
      <c r="C31" t="s">
        <v>109</v>
      </c>
      <c r="D31" t="s">
        <v>104</v>
      </c>
      <c r="E31">
        <v>1</v>
      </c>
      <c r="F31" t="s">
        <v>434</v>
      </c>
    </row>
    <row r="32" spans="1:12" x14ac:dyDescent="0.2">
      <c r="A32" t="s">
        <v>111</v>
      </c>
      <c r="B32" t="s">
        <v>14</v>
      </c>
      <c r="C32" t="s">
        <v>112</v>
      </c>
      <c r="D32" t="s">
        <v>38</v>
      </c>
      <c r="E32">
        <v>1</v>
      </c>
      <c r="F32" t="s">
        <v>435</v>
      </c>
      <c r="G32">
        <v>0.5675</v>
      </c>
      <c r="H32">
        <v>1.82</v>
      </c>
      <c r="I32">
        <v>64</v>
      </c>
      <c r="J32">
        <v>1</v>
      </c>
      <c r="K32">
        <v>97</v>
      </c>
      <c r="L32">
        <v>79</v>
      </c>
    </row>
    <row r="33" spans="1:12" x14ac:dyDescent="0.2">
      <c r="A33" t="s">
        <v>114</v>
      </c>
      <c r="B33" t="s">
        <v>14</v>
      </c>
      <c r="C33" t="s">
        <v>115</v>
      </c>
      <c r="D33" t="s">
        <v>116</v>
      </c>
      <c r="E33">
        <v>1</v>
      </c>
      <c r="F33" t="s">
        <v>436</v>
      </c>
      <c r="G33">
        <v>0.74897999999999998</v>
      </c>
      <c r="H33">
        <v>0.34</v>
      </c>
      <c r="I33">
        <v>89</v>
      </c>
      <c r="J33">
        <v>0.98899999999999999</v>
      </c>
      <c r="K33">
        <v>118</v>
      </c>
      <c r="L33">
        <v>89</v>
      </c>
    </row>
    <row r="34" spans="1:12" x14ac:dyDescent="0.2">
      <c r="A34" t="s">
        <v>118</v>
      </c>
      <c r="B34" t="s">
        <v>14</v>
      </c>
      <c r="C34" t="s">
        <v>119</v>
      </c>
      <c r="D34" t="s">
        <v>16</v>
      </c>
      <c r="E34">
        <v>1</v>
      </c>
      <c r="F34" t="s">
        <v>437</v>
      </c>
      <c r="G34">
        <v>0.84596000000000005</v>
      </c>
      <c r="H34">
        <v>2.02</v>
      </c>
      <c r="I34">
        <v>121</v>
      </c>
      <c r="J34">
        <v>1</v>
      </c>
      <c r="K34">
        <v>128</v>
      </c>
      <c r="L34">
        <v>124</v>
      </c>
    </row>
    <row r="35" spans="1:12" x14ac:dyDescent="0.2">
      <c r="A35" t="s">
        <v>121</v>
      </c>
      <c r="B35" t="s">
        <v>26</v>
      </c>
      <c r="C35" t="s">
        <v>122</v>
      </c>
      <c r="D35" t="s">
        <v>59</v>
      </c>
      <c r="E35">
        <v>1</v>
      </c>
      <c r="F35" t="s">
        <v>438</v>
      </c>
    </row>
    <row r="36" spans="1:12" x14ac:dyDescent="0.2">
      <c r="A36" t="s">
        <v>124</v>
      </c>
      <c r="B36" t="s">
        <v>14</v>
      </c>
      <c r="C36" t="s">
        <v>125</v>
      </c>
      <c r="D36" t="s">
        <v>126</v>
      </c>
      <c r="E36">
        <v>1</v>
      </c>
      <c r="F36" t="s">
        <v>439</v>
      </c>
      <c r="G36">
        <v>0.73416999999999999</v>
      </c>
      <c r="H36">
        <v>1.42</v>
      </c>
      <c r="I36">
        <v>119</v>
      </c>
      <c r="J36">
        <v>1</v>
      </c>
      <c r="K36">
        <v>155</v>
      </c>
      <c r="L36">
        <v>122</v>
      </c>
    </row>
    <row r="37" spans="1:12" x14ac:dyDescent="0.2">
      <c r="A37" t="s">
        <v>128</v>
      </c>
      <c r="B37" t="s">
        <v>77</v>
      </c>
      <c r="C37" t="s">
        <v>129</v>
      </c>
      <c r="D37" t="s">
        <v>38</v>
      </c>
      <c r="E37">
        <v>1</v>
      </c>
      <c r="F37" t="s">
        <v>440</v>
      </c>
    </row>
    <row r="38" spans="1:12" x14ac:dyDescent="0.2">
      <c r="A38" t="s">
        <v>131</v>
      </c>
      <c r="B38" t="s">
        <v>14</v>
      </c>
      <c r="C38" t="s">
        <v>132</v>
      </c>
      <c r="D38" t="s">
        <v>133</v>
      </c>
      <c r="E38">
        <v>0</v>
      </c>
      <c r="F38" t="s">
        <v>441</v>
      </c>
    </row>
    <row r="39" spans="1:12" x14ac:dyDescent="0.2">
      <c r="A39" t="s">
        <v>135</v>
      </c>
      <c r="B39" t="s">
        <v>136</v>
      </c>
      <c r="C39" t="s">
        <v>137</v>
      </c>
      <c r="D39" t="s">
        <v>47</v>
      </c>
      <c r="E39">
        <v>1</v>
      </c>
      <c r="F39" t="s">
        <v>441</v>
      </c>
    </row>
    <row r="40" spans="1:12" x14ac:dyDescent="0.2">
      <c r="A40" t="s">
        <v>138</v>
      </c>
      <c r="B40" t="s">
        <v>77</v>
      </c>
      <c r="C40" t="s">
        <v>139</v>
      </c>
      <c r="D40" t="s">
        <v>140</v>
      </c>
      <c r="E40">
        <v>1</v>
      </c>
      <c r="F40" t="s">
        <v>442</v>
      </c>
    </row>
    <row r="41" spans="1:12" x14ac:dyDescent="0.2">
      <c r="A41" t="s">
        <v>142</v>
      </c>
      <c r="B41" t="s">
        <v>14</v>
      </c>
      <c r="C41" t="s">
        <v>143</v>
      </c>
      <c r="D41" t="s">
        <v>144</v>
      </c>
      <c r="E41">
        <v>1</v>
      </c>
      <c r="F41" t="s">
        <v>443</v>
      </c>
      <c r="G41">
        <v>0.88753000000000004</v>
      </c>
      <c r="H41">
        <v>1.63</v>
      </c>
      <c r="I41">
        <v>95</v>
      </c>
      <c r="J41">
        <v>0.94699999999999995</v>
      </c>
      <c r="K41">
        <v>98</v>
      </c>
      <c r="L41">
        <v>97</v>
      </c>
    </row>
    <row r="42" spans="1:12" x14ac:dyDescent="0.2">
      <c r="A42" t="s">
        <v>146</v>
      </c>
      <c r="B42" t="s">
        <v>147</v>
      </c>
      <c r="C42" t="s">
        <v>148</v>
      </c>
      <c r="D42" t="s">
        <v>133</v>
      </c>
      <c r="E42">
        <v>0</v>
      </c>
      <c r="F42" t="s">
        <v>444</v>
      </c>
    </row>
    <row r="43" spans="1:12" x14ac:dyDescent="0.2">
      <c r="A43" t="s">
        <v>150</v>
      </c>
      <c r="B43" t="s">
        <v>151</v>
      </c>
      <c r="C43" t="s">
        <v>152</v>
      </c>
      <c r="D43" t="s">
        <v>38</v>
      </c>
      <c r="E43">
        <v>1</v>
      </c>
      <c r="F43" t="s">
        <v>444</v>
      </c>
    </row>
    <row r="44" spans="1:12" x14ac:dyDescent="0.2">
      <c r="A44" t="s">
        <v>153</v>
      </c>
      <c r="B44" t="s">
        <v>154</v>
      </c>
      <c r="C44" t="s">
        <v>152</v>
      </c>
      <c r="D44" t="s">
        <v>38</v>
      </c>
      <c r="E44">
        <v>1</v>
      </c>
      <c r="F44" t="s">
        <v>444</v>
      </c>
    </row>
    <row r="45" spans="1:12" x14ac:dyDescent="0.2">
      <c r="A45" t="s">
        <v>155</v>
      </c>
      <c r="B45" t="s">
        <v>156</v>
      </c>
      <c r="C45" t="s">
        <v>148</v>
      </c>
      <c r="D45" t="s">
        <v>133</v>
      </c>
      <c r="E45">
        <v>0</v>
      </c>
      <c r="F45" t="s">
        <v>444</v>
      </c>
    </row>
    <row r="46" spans="1:12" x14ac:dyDescent="0.2">
      <c r="A46" t="s">
        <v>157</v>
      </c>
      <c r="B46" t="s">
        <v>14</v>
      </c>
      <c r="C46" t="s">
        <v>148</v>
      </c>
      <c r="D46" t="s">
        <v>133</v>
      </c>
      <c r="E46">
        <v>0</v>
      </c>
      <c r="F46" t="s">
        <v>444</v>
      </c>
    </row>
    <row r="47" spans="1:12" x14ac:dyDescent="0.2">
      <c r="A47" t="s">
        <v>158</v>
      </c>
      <c r="B47" t="s">
        <v>19</v>
      </c>
      <c r="C47" t="s">
        <v>152</v>
      </c>
      <c r="D47" t="s">
        <v>38</v>
      </c>
      <c r="E47">
        <v>1</v>
      </c>
      <c r="F47" t="s">
        <v>444</v>
      </c>
      <c r="G47">
        <v>0.75183</v>
      </c>
      <c r="H47">
        <v>1.52</v>
      </c>
      <c r="I47">
        <v>77</v>
      </c>
      <c r="J47">
        <v>0.85699999999999998</v>
      </c>
      <c r="K47">
        <v>93</v>
      </c>
      <c r="L47">
        <v>81</v>
      </c>
    </row>
    <row r="48" spans="1:12" x14ac:dyDescent="0.2">
      <c r="A48" t="s">
        <v>159</v>
      </c>
      <c r="B48" t="s">
        <v>26</v>
      </c>
      <c r="C48" t="s">
        <v>160</v>
      </c>
      <c r="D48" t="s">
        <v>133</v>
      </c>
      <c r="E48">
        <v>0</v>
      </c>
      <c r="F48" t="s">
        <v>445</v>
      </c>
    </row>
    <row r="49" spans="1:12" x14ac:dyDescent="0.2">
      <c r="A49" t="s">
        <v>162</v>
      </c>
      <c r="B49" t="s">
        <v>68</v>
      </c>
      <c r="C49" t="s">
        <v>152</v>
      </c>
      <c r="D49" t="s">
        <v>38</v>
      </c>
      <c r="E49">
        <v>1</v>
      </c>
      <c r="F49" t="s">
        <v>445</v>
      </c>
      <c r="G49">
        <v>0.73706000000000005</v>
      </c>
      <c r="H49">
        <v>1.7</v>
      </c>
      <c r="I49">
        <v>77</v>
      </c>
      <c r="J49">
        <v>0.85699999999999998</v>
      </c>
      <c r="K49">
        <v>93</v>
      </c>
      <c r="L49">
        <v>83</v>
      </c>
    </row>
    <row r="50" spans="1:12" x14ac:dyDescent="0.2">
      <c r="A50" t="s">
        <v>163</v>
      </c>
      <c r="B50" t="s">
        <v>164</v>
      </c>
      <c r="C50" t="s">
        <v>152</v>
      </c>
      <c r="D50" t="s">
        <v>38</v>
      </c>
      <c r="E50">
        <v>1</v>
      </c>
      <c r="F50" t="s">
        <v>445</v>
      </c>
    </row>
    <row r="51" spans="1:12" x14ac:dyDescent="0.2">
      <c r="A51" t="s">
        <v>165</v>
      </c>
      <c r="B51" t="s">
        <v>166</v>
      </c>
      <c r="C51" t="s">
        <v>160</v>
      </c>
      <c r="D51" t="s">
        <v>167</v>
      </c>
      <c r="E51">
        <v>0</v>
      </c>
      <c r="F51" t="s">
        <v>445</v>
      </c>
    </row>
    <row r="52" spans="1:12" x14ac:dyDescent="0.2">
      <c r="A52" t="s">
        <v>168</v>
      </c>
      <c r="B52" t="s">
        <v>14</v>
      </c>
      <c r="C52" t="s">
        <v>169</v>
      </c>
      <c r="D52" t="s">
        <v>170</v>
      </c>
      <c r="E52">
        <v>1</v>
      </c>
      <c r="F52" t="s">
        <v>446</v>
      </c>
      <c r="G52">
        <v>0.3659</v>
      </c>
      <c r="H52">
        <v>2.58</v>
      </c>
      <c r="I52">
        <v>34</v>
      </c>
      <c r="J52">
        <v>0.91200000000000003</v>
      </c>
      <c r="K52">
        <v>75</v>
      </c>
      <c r="L52">
        <v>75</v>
      </c>
    </row>
    <row r="53" spans="1:12" x14ac:dyDescent="0.2">
      <c r="A53" t="s">
        <v>172</v>
      </c>
      <c r="B53" t="s">
        <v>77</v>
      </c>
      <c r="C53" t="s">
        <v>173</v>
      </c>
      <c r="D53" t="s">
        <v>174</v>
      </c>
      <c r="E53">
        <v>1</v>
      </c>
      <c r="F53" t="s">
        <v>447</v>
      </c>
    </row>
    <row r="54" spans="1:12" x14ac:dyDescent="0.2">
      <c r="A54" t="s">
        <v>176</v>
      </c>
      <c r="B54" t="s">
        <v>14</v>
      </c>
      <c r="C54" t="s">
        <v>160</v>
      </c>
      <c r="D54" t="s">
        <v>133</v>
      </c>
      <c r="E54">
        <v>0</v>
      </c>
      <c r="F54" t="s">
        <v>448</v>
      </c>
    </row>
    <row r="55" spans="1:12" x14ac:dyDescent="0.2">
      <c r="A55" t="s">
        <v>178</v>
      </c>
      <c r="B55" t="s">
        <v>19</v>
      </c>
      <c r="C55" t="s">
        <v>50</v>
      </c>
      <c r="D55" t="s">
        <v>38</v>
      </c>
      <c r="E55">
        <v>1</v>
      </c>
      <c r="F55" t="s">
        <v>448</v>
      </c>
      <c r="G55">
        <v>0.82730000000000004</v>
      </c>
      <c r="H55">
        <v>2.11</v>
      </c>
      <c r="I55">
        <v>66</v>
      </c>
      <c r="J55">
        <v>1</v>
      </c>
      <c r="K55">
        <v>68</v>
      </c>
      <c r="L55">
        <v>68</v>
      </c>
    </row>
    <row r="56" spans="1:12" x14ac:dyDescent="0.2">
      <c r="A56" t="s">
        <v>179</v>
      </c>
      <c r="B56" t="s">
        <v>26</v>
      </c>
      <c r="C56" t="s">
        <v>46</v>
      </c>
      <c r="D56" t="s">
        <v>180</v>
      </c>
      <c r="E56">
        <v>1</v>
      </c>
      <c r="F56" t="s">
        <v>449</v>
      </c>
    </row>
    <row r="57" spans="1:12" x14ac:dyDescent="0.2">
      <c r="A57" t="s">
        <v>182</v>
      </c>
      <c r="B57" t="s">
        <v>183</v>
      </c>
      <c r="C57" t="s">
        <v>46</v>
      </c>
      <c r="D57" t="s">
        <v>184</v>
      </c>
      <c r="E57">
        <v>1</v>
      </c>
      <c r="F57" t="s">
        <v>450</v>
      </c>
    </row>
    <row r="58" spans="1:12" x14ac:dyDescent="0.2">
      <c r="A58" t="s">
        <v>186</v>
      </c>
      <c r="B58" t="s">
        <v>14</v>
      </c>
      <c r="C58" t="s">
        <v>169</v>
      </c>
      <c r="D58" t="s">
        <v>187</v>
      </c>
      <c r="E58">
        <v>1</v>
      </c>
      <c r="F58" t="s">
        <v>451</v>
      </c>
      <c r="G58">
        <v>0.50429999999999997</v>
      </c>
      <c r="H58">
        <v>3.93</v>
      </c>
      <c r="I58">
        <v>118</v>
      </c>
      <c r="J58">
        <v>0.66100000000000003</v>
      </c>
      <c r="K58">
        <v>157</v>
      </c>
      <c r="L58">
        <v>136</v>
      </c>
    </row>
    <row r="59" spans="1:12" x14ac:dyDescent="0.2">
      <c r="A59" t="s">
        <v>189</v>
      </c>
      <c r="B59" t="s">
        <v>14</v>
      </c>
      <c r="C59" t="s">
        <v>190</v>
      </c>
      <c r="D59" t="s">
        <v>191</v>
      </c>
      <c r="E59">
        <v>1</v>
      </c>
      <c r="F59" t="s">
        <v>452</v>
      </c>
      <c r="G59">
        <v>0.30736000000000002</v>
      </c>
      <c r="H59">
        <v>4.57</v>
      </c>
      <c r="I59">
        <v>75</v>
      </c>
      <c r="J59">
        <v>9.2999999999999999E-2</v>
      </c>
      <c r="K59">
        <v>158</v>
      </c>
      <c r="L59">
        <v>158</v>
      </c>
    </row>
    <row r="60" spans="1:12" x14ac:dyDescent="0.2">
      <c r="A60" t="s">
        <v>193</v>
      </c>
      <c r="B60" t="s">
        <v>14</v>
      </c>
      <c r="C60" t="s">
        <v>194</v>
      </c>
      <c r="D60" t="s">
        <v>140</v>
      </c>
      <c r="E60">
        <v>1</v>
      </c>
      <c r="F60" t="s">
        <v>453</v>
      </c>
      <c r="G60">
        <v>0.30260999999999999</v>
      </c>
      <c r="H60">
        <v>4.87</v>
      </c>
      <c r="I60">
        <v>75</v>
      </c>
      <c r="J60">
        <v>0.04</v>
      </c>
      <c r="K60">
        <v>143</v>
      </c>
      <c r="L60">
        <v>143</v>
      </c>
    </row>
    <row r="61" spans="1:12" x14ac:dyDescent="0.2">
      <c r="A61" t="s">
        <v>196</v>
      </c>
      <c r="B61" t="s">
        <v>197</v>
      </c>
      <c r="C61" t="s">
        <v>148</v>
      </c>
      <c r="D61" t="s">
        <v>133</v>
      </c>
      <c r="E61">
        <v>0</v>
      </c>
      <c r="F61" t="s">
        <v>454</v>
      </c>
    </row>
    <row r="62" spans="1:12" x14ac:dyDescent="0.2">
      <c r="A62" t="s">
        <v>199</v>
      </c>
      <c r="B62" t="s">
        <v>200</v>
      </c>
      <c r="C62" t="s">
        <v>152</v>
      </c>
      <c r="D62" t="s">
        <v>201</v>
      </c>
      <c r="E62">
        <v>1</v>
      </c>
      <c r="F62" t="s">
        <v>454</v>
      </c>
    </row>
    <row r="63" spans="1:12" x14ac:dyDescent="0.2">
      <c r="A63" t="s">
        <v>202</v>
      </c>
      <c r="B63" t="s">
        <v>14</v>
      </c>
      <c r="C63" t="s">
        <v>203</v>
      </c>
      <c r="D63" t="s">
        <v>204</v>
      </c>
      <c r="E63">
        <v>1</v>
      </c>
      <c r="F63" t="s">
        <v>455</v>
      </c>
      <c r="G63">
        <v>0.28098000000000001</v>
      </c>
      <c r="H63">
        <v>4.76</v>
      </c>
      <c r="I63">
        <v>61</v>
      </c>
      <c r="J63">
        <v>0.47499999999999998</v>
      </c>
      <c r="K63">
        <v>125</v>
      </c>
      <c r="L63">
        <v>124</v>
      </c>
    </row>
    <row r="64" spans="1:12" x14ac:dyDescent="0.2">
      <c r="A64" t="s">
        <v>206</v>
      </c>
      <c r="B64" t="s">
        <v>154</v>
      </c>
      <c r="C64" t="s">
        <v>207</v>
      </c>
      <c r="D64" t="s">
        <v>208</v>
      </c>
      <c r="E64">
        <v>0</v>
      </c>
      <c r="F64" t="s">
        <v>456</v>
      </c>
    </row>
    <row r="65" spans="1:12" x14ac:dyDescent="0.2">
      <c r="A65" t="s">
        <v>210</v>
      </c>
      <c r="B65" t="s">
        <v>136</v>
      </c>
      <c r="C65" t="s">
        <v>152</v>
      </c>
      <c r="D65" t="s">
        <v>38</v>
      </c>
      <c r="E65">
        <v>1</v>
      </c>
      <c r="F65" t="s">
        <v>456</v>
      </c>
    </row>
    <row r="66" spans="1:12" x14ac:dyDescent="0.2">
      <c r="A66" t="s">
        <v>211</v>
      </c>
      <c r="B66" t="s">
        <v>14</v>
      </c>
      <c r="C66" t="s">
        <v>212</v>
      </c>
      <c r="D66" t="s">
        <v>213</v>
      </c>
      <c r="E66">
        <v>1</v>
      </c>
      <c r="F66" t="s">
        <v>457</v>
      </c>
      <c r="G66">
        <v>0.48496</v>
      </c>
      <c r="H66">
        <v>2.78</v>
      </c>
      <c r="I66">
        <v>45</v>
      </c>
      <c r="J66">
        <v>0.64400000000000002</v>
      </c>
      <c r="K66">
        <v>50</v>
      </c>
      <c r="L66">
        <v>49</v>
      </c>
    </row>
    <row r="67" spans="1:12" x14ac:dyDescent="0.2">
      <c r="A67" t="s">
        <v>215</v>
      </c>
      <c r="B67" t="s">
        <v>14</v>
      </c>
      <c r="C67" t="s">
        <v>216</v>
      </c>
      <c r="D67" t="s">
        <v>217</v>
      </c>
      <c r="E67">
        <v>1</v>
      </c>
      <c r="F67" t="s">
        <v>458</v>
      </c>
      <c r="G67">
        <v>0.28622999999999998</v>
      </c>
      <c r="H67">
        <v>4.7300000000000004</v>
      </c>
      <c r="I67">
        <v>58</v>
      </c>
      <c r="J67">
        <v>5.1999999999999998E-2</v>
      </c>
      <c r="K67">
        <v>114</v>
      </c>
      <c r="L67">
        <v>113</v>
      </c>
    </row>
    <row r="68" spans="1:12" x14ac:dyDescent="0.2">
      <c r="A68" t="s">
        <v>219</v>
      </c>
      <c r="B68" t="s">
        <v>14</v>
      </c>
      <c r="C68" t="s">
        <v>220</v>
      </c>
      <c r="D68" t="s">
        <v>221</v>
      </c>
      <c r="E68">
        <v>0</v>
      </c>
      <c r="F68" t="s">
        <v>459</v>
      </c>
    </row>
    <row r="69" spans="1:12" x14ac:dyDescent="0.2">
      <c r="A69" t="s">
        <v>223</v>
      </c>
      <c r="B69" t="s">
        <v>19</v>
      </c>
      <c r="C69" t="s">
        <v>224</v>
      </c>
      <c r="D69" t="s">
        <v>225</v>
      </c>
      <c r="E69">
        <v>1</v>
      </c>
      <c r="F69" t="s">
        <v>459</v>
      </c>
      <c r="G69">
        <v>0.35893999999999998</v>
      </c>
      <c r="H69">
        <v>4.16</v>
      </c>
      <c r="I69">
        <v>62</v>
      </c>
      <c r="J69">
        <v>6.5000000000000002E-2</v>
      </c>
      <c r="K69">
        <v>93</v>
      </c>
      <c r="L69">
        <v>91</v>
      </c>
    </row>
    <row r="70" spans="1:12" x14ac:dyDescent="0.2">
      <c r="A70" t="s">
        <v>226</v>
      </c>
      <c r="B70" t="s">
        <v>82</v>
      </c>
      <c r="C70" t="s">
        <v>227</v>
      </c>
      <c r="D70" t="s">
        <v>221</v>
      </c>
      <c r="E70">
        <v>0</v>
      </c>
      <c r="F70" t="s">
        <v>460</v>
      </c>
    </row>
    <row r="71" spans="1:12" x14ac:dyDescent="0.2">
      <c r="A71" t="s">
        <v>229</v>
      </c>
      <c r="B71" t="s">
        <v>230</v>
      </c>
      <c r="C71" t="s">
        <v>231</v>
      </c>
      <c r="D71" t="s">
        <v>232</v>
      </c>
      <c r="E71">
        <v>1</v>
      </c>
      <c r="F71" t="s">
        <v>460</v>
      </c>
    </row>
    <row r="72" spans="1:12" x14ac:dyDescent="0.2">
      <c r="A72" t="s">
        <v>233</v>
      </c>
      <c r="B72" t="s">
        <v>14</v>
      </c>
      <c r="C72" t="s">
        <v>234</v>
      </c>
      <c r="D72" t="s">
        <v>208</v>
      </c>
      <c r="E72">
        <v>0</v>
      </c>
      <c r="F72" t="s">
        <v>461</v>
      </c>
    </row>
    <row r="73" spans="1:12" x14ac:dyDescent="0.2">
      <c r="A73" t="s">
        <v>236</v>
      </c>
      <c r="B73" t="s">
        <v>19</v>
      </c>
      <c r="C73" t="s">
        <v>237</v>
      </c>
      <c r="D73" t="s">
        <v>238</v>
      </c>
      <c r="E73">
        <v>1</v>
      </c>
      <c r="F73" t="s">
        <v>461</v>
      </c>
      <c r="G73">
        <v>0.42559000000000002</v>
      </c>
      <c r="H73">
        <v>1.76</v>
      </c>
      <c r="I73">
        <v>25</v>
      </c>
      <c r="J73">
        <v>1</v>
      </c>
      <c r="K73">
        <v>51</v>
      </c>
      <c r="L73">
        <v>27</v>
      </c>
    </row>
    <row r="74" spans="1:12" x14ac:dyDescent="0.2">
      <c r="A74" t="s">
        <v>239</v>
      </c>
      <c r="B74" t="s">
        <v>14</v>
      </c>
      <c r="C74" t="s">
        <v>240</v>
      </c>
      <c r="D74" t="s">
        <v>241</v>
      </c>
      <c r="E74">
        <v>1</v>
      </c>
      <c r="F74" t="s">
        <v>462</v>
      </c>
      <c r="G74">
        <v>0.27176</v>
      </c>
      <c r="H74">
        <v>6.07</v>
      </c>
      <c r="I74">
        <v>122</v>
      </c>
      <c r="J74">
        <v>7.3999999999999996E-2</v>
      </c>
      <c r="K74">
        <v>267</v>
      </c>
      <c r="L74">
        <v>209</v>
      </c>
    </row>
    <row r="75" spans="1:12" x14ac:dyDescent="0.2">
      <c r="A75" t="s">
        <v>243</v>
      </c>
      <c r="B75" t="s">
        <v>26</v>
      </c>
      <c r="C75" t="s">
        <v>244</v>
      </c>
      <c r="D75" t="s">
        <v>241</v>
      </c>
      <c r="E75">
        <v>1</v>
      </c>
      <c r="F75" t="s">
        <v>462</v>
      </c>
    </row>
    <row r="76" spans="1:12" x14ac:dyDescent="0.2">
      <c r="A76" t="s">
        <v>245</v>
      </c>
      <c r="B76" t="s">
        <v>246</v>
      </c>
      <c r="C76" t="s">
        <v>247</v>
      </c>
      <c r="D76" t="s">
        <v>241</v>
      </c>
      <c r="E76">
        <v>0</v>
      </c>
      <c r="F76" t="s">
        <v>462</v>
      </c>
    </row>
    <row r="77" spans="1:12" x14ac:dyDescent="0.2">
      <c r="A77" t="s">
        <v>248</v>
      </c>
      <c r="B77" t="s">
        <v>249</v>
      </c>
      <c r="C77" t="s">
        <v>250</v>
      </c>
      <c r="D77" t="s">
        <v>251</v>
      </c>
      <c r="E77">
        <v>0</v>
      </c>
      <c r="F77" t="s">
        <v>463</v>
      </c>
    </row>
    <row r="78" spans="1:12" x14ac:dyDescent="0.2">
      <c r="A78" t="s">
        <v>253</v>
      </c>
      <c r="B78" t="s">
        <v>254</v>
      </c>
      <c r="C78" t="s">
        <v>255</v>
      </c>
      <c r="D78" t="s">
        <v>217</v>
      </c>
      <c r="E78">
        <v>1</v>
      </c>
      <c r="F78" t="s">
        <v>463</v>
      </c>
    </row>
    <row r="79" spans="1:12" x14ac:dyDescent="0.2">
      <c r="A79" t="s">
        <v>256</v>
      </c>
      <c r="B79" t="s">
        <v>26</v>
      </c>
      <c r="C79" t="s">
        <v>257</v>
      </c>
      <c r="D79" t="s">
        <v>217</v>
      </c>
      <c r="E79">
        <v>1</v>
      </c>
      <c r="F79" t="s">
        <v>464</v>
      </c>
    </row>
    <row r="80" spans="1:12" x14ac:dyDescent="0.2">
      <c r="A80" t="s">
        <v>259</v>
      </c>
      <c r="B80" t="s">
        <v>260</v>
      </c>
      <c r="C80" t="s">
        <v>261</v>
      </c>
      <c r="D80" t="s">
        <v>251</v>
      </c>
      <c r="E80">
        <v>0</v>
      </c>
      <c r="F80" t="s">
        <v>465</v>
      </c>
    </row>
    <row r="81" spans="1:12" x14ac:dyDescent="0.2">
      <c r="A81" t="s">
        <v>263</v>
      </c>
      <c r="B81" t="s">
        <v>264</v>
      </c>
      <c r="C81" t="s">
        <v>257</v>
      </c>
      <c r="D81" t="s">
        <v>217</v>
      </c>
      <c r="E81">
        <v>1</v>
      </c>
      <c r="F81" t="s">
        <v>465</v>
      </c>
    </row>
    <row r="82" spans="1:12" x14ac:dyDescent="0.2">
      <c r="A82" t="s">
        <v>265</v>
      </c>
      <c r="B82" t="s">
        <v>14</v>
      </c>
      <c r="C82" t="s">
        <v>261</v>
      </c>
      <c r="D82" t="s">
        <v>251</v>
      </c>
      <c r="E82">
        <v>0</v>
      </c>
      <c r="F82" t="s">
        <v>466</v>
      </c>
    </row>
    <row r="83" spans="1:12" x14ac:dyDescent="0.2">
      <c r="A83" t="s">
        <v>267</v>
      </c>
      <c r="B83" t="s">
        <v>19</v>
      </c>
      <c r="C83" t="s">
        <v>257</v>
      </c>
      <c r="D83" t="s">
        <v>217</v>
      </c>
      <c r="E83">
        <v>1</v>
      </c>
      <c r="F83" t="s">
        <v>466</v>
      </c>
      <c r="G83">
        <v>0.38114999999999999</v>
      </c>
      <c r="H83">
        <v>6.1</v>
      </c>
      <c r="I83">
        <v>250</v>
      </c>
      <c r="J83">
        <v>0.46</v>
      </c>
      <c r="K83">
        <v>441</v>
      </c>
      <c r="L83">
        <v>379</v>
      </c>
    </row>
    <row r="84" spans="1:12" x14ac:dyDescent="0.2">
      <c r="A84" t="s">
        <v>268</v>
      </c>
      <c r="B84" t="s">
        <v>14</v>
      </c>
      <c r="C84" t="s">
        <v>269</v>
      </c>
      <c r="D84" t="s">
        <v>238</v>
      </c>
      <c r="E84">
        <v>1</v>
      </c>
      <c r="F84" t="s">
        <v>467</v>
      </c>
      <c r="G84">
        <v>0.75200999999999996</v>
      </c>
      <c r="H84">
        <v>1.76</v>
      </c>
      <c r="I84">
        <v>56</v>
      </c>
      <c r="J84">
        <v>1</v>
      </c>
      <c r="K84">
        <v>60</v>
      </c>
      <c r="L84">
        <v>60</v>
      </c>
    </row>
    <row r="85" spans="1:12" x14ac:dyDescent="0.2">
      <c r="A85" t="s">
        <v>271</v>
      </c>
      <c r="B85" t="s">
        <v>14</v>
      </c>
      <c r="C85" t="s">
        <v>269</v>
      </c>
      <c r="D85" t="s">
        <v>238</v>
      </c>
      <c r="E85">
        <v>1</v>
      </c>
      <c r="F85" t="s">
        <v>467</v>
      </c>
      <c r="G85">
        <v>0.61499999999999999</v>
      </c>
      <c r="H85">
        <v>2.2200000000000002</v>
      </c>
      <c r="I85">
        <v>67</v>
      </c>
      <c r="J85">
        <v>0.97</v>
      </c>
      <c r="K85">
        <v>89</v>
      </c>
      <c r="L85">
        <v>89</v>
      </c>
    </row>
    <row r="86" spans="1:12" x14ac:dyDescent="0.2">
      <c r="A86" t="s">
        <v>272</v>
      </c>
      <c r="B86" t="s">
        <v>14</v>
      </c>
      <c r="C86" t="s">
        <v>269</v>
      </c>
      <c r="D86" t="s">
        <v>238</v>
      </c>
      <c r="E86">
        <v>1</v>
      </c>
      <c r="F86" t="s">
        <v>467</v>
      </c>
      <c r="G86">
        <v>0.31375999999999998</v>
      </c>
      <c r="H86">
        <v>3.43</v>
      </c>
      <c r="I86">
        <v>44</v>
      </c>
      <c r="J86">
        <v>0.61399999999999999</v>
      </c>
      <c r="K86">
        <v>95</v>
      </c>
      <c r="L86">
        <v>91</v>
      </c>
    </row>
    <row r="87" spans="1:12" x14ac:dyDescent="0.2">
      <c r="A87" t="s">
        <v>273</v>
      </c>
      <c r="B87" t="s">
        <v>82</v>
      </c>
      <c r="C87" t="s">
        <v>274</v>
      </c>
      <c r="D87" t="s">
        <v>275</v>
      </c>
      <c r="E87">
        <v>1</v>
      </c>
      <c r="F87" t="s">
        <v>468</v>
      </c>
    </row>
    <row r="88" spans="1:12" x14ac:dyDescent="0.2">
      <c r="A88" t="s">
        <v>277</v>
      </c>
      <c r="B88" t="s">
        <v>14</v>
      </c>
      <c r="C88" t="s">
        <v>278</v>
      </c>
      <c r="D88" t="s">
        <v>279</v>
      </c>
      <c r="E88">
        <v>1</v>
      </c>
      <c r="F88" t="s">
        <v>469</v>
      </c>
      <c r="G88">
        <v>0.42716999999999999</v>
      </c>
      <c r="H88">
        <v>2.83</v>
      </c>
      <c r="I88">
        <v>83</v>
      </c>
      <c r="J88">
        <v>0.81899999999999995</v>
      </c>
      <c r="K88">
        <v>155</v>
      </c>
      <c r="L88">
        <v>89</v>
      </c>
    </row>
    <row r="89" spans="1:12" x14ac:dyDescent="0.2">
      <c r="A89" t="s">
        <v>281</v>
      </c>
      <c r="B89" t="s">
        <v>35</v>
      </c>
      <c r="C89" t="s">
        <v>282</v>
      </c>
      <c r="D89" t="s">
        <v>59</v>
      </c>
      <c r="E89">
        <v>1</v>
      </c>
      <c r="F89" t="s">
        <v>470</v>
      </c>
    </row>
    <row r="90" spans="1:12" x14ac:dyDescent="0.2">
      <c r="A90" t="s">
        <v>284</v>
      </c>
      <c r="B90" t="s">
        <v>26</v>
      </c>
      <c r="C90" t="s">
        <v>285</v>
      </c>
      <c r="D90" t="s">
        <v>59</v>
      </c>
      <c r="E90">
        <v>1</v>
      </c>
      <c r="F90" t="s">
        <v>470</v>
      </c>
    </row>
    <row r="91" spans="1:12" x14ac:dyDescent="0.2">
      <c r="A91" t="s">
        <v>286</v>
      </c>
      <c r="B91" t="s">
        <v>14</v>
      </c>
      <c r="C91" t="s">
        <v>287</v>
      </c>
      <c r="D91" t="s">
        <v>241</v>
      </c>
      <c r="E91">
        <v>1</v>
      </c>
      <c r="F91" t="s">
        <v>471</v>
      </c>
      <c r="G91">
        <v>0.26844000000000001</v>
      </c>
      <c r="H91">
        <v>4.3899999999999997</v>
      </c>
      <c r="I91">
        <v>48</v>
      </c>
      <c r="J91">
        <v>0.104</v>
      </c>
      <c r="K91">
        <v>95</v>
      </c>
      <c r="L91">
        <v>89</v>
      </c>
    </row>
    <row r="92" spans="1:12" x14ac:dyDescent="0.2">
      <c r="A92" t="s">
        <v>289</v>
      </c>
      <c r="B92" t="s">
        <v>26</v>
      </c>
      <c r="C92" t="s">
        <v>290</v>
      </c>
      <c r="D92" t="s">
        <v>241</v>
      </c>
      <c r="E92">
        <v>1</v>
      </c>
      <c r="F92" t="s">
        <v>471</v>
      </c>
    </row>
    <row r="93" spans="1:12" x14ac:dyDescent="0.2">
      <c r="A93" t="s">
        <v>291</v>
      </c>
      <c r="B93" t="s">
        <v>68</v>
      </c>
      <c r="C93" t="s">
        <v>290</v>
      </c>
      <c r="D93" t="s">
        <v>241</v>
      </c>
      <c r="E93">
        <v>0</v>
      </c>
      <c r="F93" t="s">
        <v>471</v>
      </c>
    </row>
    <row r="94" spans="1:12" x14ac:dyDescent="0.2">
      <c r="A94" t="s">
        <v>292</v>
      </c>
      <c r="B94" t="s">
        <v>26</v>
      </c>
      <c r="C94" t="s">
        <v>293</v>
      </c>
      <c r="D94" t="s">
        <v>294</v>
      </c>
      <c r="E94">
        <v>1</v>
      </c>
      <c r="F94" t="s">
        <v>472</v>
      </c>
    </row>
    <row r="95" spans="1:12" x14ac:dyDescent="0.2">
      <c r="A95" t="s">
        <v>296</v>
      </c>
      <c r="B95" t="s">
        <v>14</v>
      </c>
      <c r="C95" t="s">
        <v>297</v>
      </c>
      <c r="D95" t="s">
        <v>298</v>
      </c>
      <c r="E95">
        <v>1</v>
      </c>
      <c r="F95" t="s">
        <v>472</v>
      </c>
      <c r="G95">
        <v>0.82735000000000003</v>
      </c>
      <c r="H95">
        <v>1.4</v>
      </c>
      <c r="I95">
        <v>91</v>
      </c>
      <c r="J95">
        <v>1</v>
      </c>
      <c r="K95">
        <v>104</v>
      </c>
      <c r="L95">
        <v>95</v>
      </c>
    </row>
    <row r="96" spans="1:12" x14ac:dyDescent="0.2">
      <c r="A96" t="s">
        <v>299</v>
      </c>
      <c r="B96" t="s">
        <v>26</v>
      </c>
      <c r="C96" t="s">
        <v>300</v>
      </c>
      <c r="D96" t="s">
        <v>294</v>
      </c>
      <c r="E96">
        <v>1</v>
      </c>
      <c r="F96" t="s">
        <v>472</v>
      </c>
    </row>
    <row r="97" spans="1:12" x14ac:dyDescent="0.2">
      <c r="A97" t="s">
        <v>301</v>
      </c>
      <c r="B97" t="s">
        <v>14</v>
      </c>
      <c r="C97" t="s">
        <v>302</v>
      </c>
      <c r="D97" t="s">
        <v>294</v>
      </c>
      <c r="E97">
        <v>1</v>
      </c>
      <c r="F97" t="s">
        <v>472</v>
      </c>
      <c r="G97">
        <v>0.71560999999999997</v>
      </c>
      <c r="H97">
        <v>2.33</v>
      </c>
      <c r="I97">
        <v>87</v>
      </c>
      <c r="J97">
        <v>0.90800000000000003</v>
      </c>
      <c r="K97">
        <v>99</v>
      </c>
      <c r="L97">
        <v>94</v>
      </c>
    </row>
    <row r="98" spans="1:12" x14ac:dyDescent="0.2">
      <c r="A98" t="s">
        <v>303</v>
      </c>
      <c r="B98" t="s">
        <v>26</v>
      </c>
      <c r="C98" t="s">
        <v>304</v>
      </c>
      <c r="D98" t="s">
        <v>305</v>
      </c>
      <c r="E98">
        <v>1</v>
      </c>
      <c r="F98" t="s">
        <v>472</v>
      </c>
    </row>
    <row r="99" spans="1:12" x14ac:dyDescent="0.2">
      <c r="A99" t="s">
        <v>306</v>
      </c>
      <c r="B99" t="s">
        <v>14</v>
      </c>
      <c r="C99" t="s">
        <v>307</v>
      </c>
      <c r="D99" t="s">
        <v>208</v>
      </c>
      <c r="E99">
        <v>0</v>
      </c>
      <c r="F99" t="s">
        <v>473</v>
      </c>
    </row>
    <row r="100" spans="1:12" x14ac:dyDescent="0.2">
      <c r="A100" t="s">
        <v>309</v>
      </c>
      <c r="B100" t="s">
        <v>19</v>
      </c>
      <c r="C100" t="s">
        <v>310</v>
      </c>
      <c r="D100" t="s">
        <v>238</v>
      </c>
      <c r="E100">
        <v>1</v>
      </c>
      <c r="F100" t="s">
        <v>473</v>
      </c>
      <c r="G100">
        <v>0.42888999999999999</v>
      </c>
      <c r="H100">
        <v>3.54</v>
      </c>
      <c r="I100">
        <v>84</v>
      </c>
      <c r="J100">
        <v>0.69</v>
      </c>
      <c r="K100">
        <v>145</v>
      </c>
      <c r="L100">
        <v>112</v>
      </c>
    </row>
    <row r="101" spans="1:12" x14ac:dyDescent="0.2">
      <c r="A101" t="s">
        <v>311</v>
      </c>
      <c r="B101" t="s">
        <v>26</v>
      </c>
      <c r="C101" t="s">
        <v>312</v>
      </c>
      <c r="D101" t="s">
        <v>217</v>
      </c>
      <c r="E101">
        <v>1</v>
      </c>
      <c r="F101" t="s">
        <v>474</v>
      </c>
    </row>
    <row r="102" spans="1:12" x14ac:dyDescent="0.2">
      <c r="A102" t="s">
        <v>314</v>
      </c>
      <c r="B102" t="s">
        <v>14</v>
      </c>
      <c r="C102" t="s">
        <v>315</v>
      </c>
      <c r="D102" t="s">
        <v>16</v>
      </c>
      <c r="E102">
        <v>1</v>
      </c>
      <c r="F102" t="s">
        <v>475</v>
      </c>
      <c r="G102">
        <v>0.23483000000000001</v>
      </c>
      <c r="H102">
        <v>5.43</v>
      </c>
      <c r="I102">
        <v>91</v>
      </c>
      <c r="J102">
        <v>5.5E-2</v>
      </c>
      <c r="K102">
        <v>239</v>
      </c>
      <c r="L102">
        <v>185</v>
      </c>
    </row>
    <row r="103" spans="1:12" x14ac:dyDescent="0.2">
      <c r="A103" t="s">
        <v>317</v>
      </c>
      <c r="B103" t="s">
        <v>14</v>
      </c>
      <c r="C103" t="s">
        <v>318</v>
      </c>
      <c r="D103" t="s">
        <v>319</v>
      </c>
      <c r="E103">
        <v>0</v>
      </c>
      <c r="F103" t="s">
        <v>476</v>
      </c>
    </row>
    <row r="104" spans="1:12" x14ac:dyDescent="0.2">
      <c r="A104" t="s">
        <v>321</v>
      </c>
      <c r="B104" t="s">
        <v>19</v>
      </c>
      <c r="C104" t="s">
        <v>322</v>
      </c>
      <c r="D104" t="s">
        <v>323</v>
      </c>
      <c r="E104">
        <v>1</v>
      </c>
      <c r="F104" t="s">
        <v>476</v>
      </c>
      <c r="G104">
        <v>0.50146999999999997</v>
      </c>
      <c r="H104">
        <v>3.27</v>
      </c>
      <c r="I104">
        <v>86</v>
      </c>
      <c r="J104">
        <v>0.54700000000000004</v>
      </c>
      <c r="K104">
        <v>122</v>
      </c>
      <c r="L104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CFBE-31BB-6B4C-99F4-875DFD5D48DB}">
  <dimension ref="A1:L104"/>
  <sheetViews>
    <sheetView topLeftCell="A70" workbookViewId="0"/>
  </sheetViews>
  <sheetFormatPr baseColWidth="10" defaultRowHeight="16" x14ac:dyDescent="0.2"/>
  <sheetData>
    <row r="1" spans="1:12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</row>
    <row r="2" spans="1:12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0.53</v>
      </c>
      <c r="I2">
        <v>224</v>
      </c>
      <c r="J2">
        <v>1</v>
      </c>
      <c r="K2">
        <v>224</v>
      </c>
      <c r="L2">
        <v>224</v>
      </c>
    </row>
    <row r="3" spans="1:12" x14ac:dyDescent="0.2">
      <c r="A3" t="s">
        <v>18</v>
      </c>
      <c r="B3" t="s">
        <v>19</v>
      </c>
      <c r="C3" t="s">
        <v>20</v>
      </c>
      <c r="E3">
        <v>0</v>
      </c>
      <c r="F3" t="s">
        <v>415</v>
      </c>
    </row>
    <row r="4" spans="1:12" x14ac:dyDescent="0.2">
      <c r="A4" t="s">
        <v>21</v>
      </c>
      <c r="B4" t="s">
        <v>14</v>
      </c>
      <c r="C4" t="s">
        <v>22</v>
      </c>
      <c r="D4" t="s">
        <v>23</v>
      </c>
      <c r="E4">
        <v>1</v>
      </c>
      <c r="F4" t="s">
        <v>416</v>
      </c>
      <c r="G4">
        <v>0.30002000000000001</v>
      </c>
      <c r="H4">
        <v>3.72</v>
      </c>
      <c r="I4">
        <v>36</v>
      </c>
      <c r="J4">
        <v>0.13900000000000001</v>
      </c>
      <c r="K4">
        <v>60</v>
      </c>
      <c r="L4">
        <v>60</v>
      </c>
    </row>
    <row r="5" spans="1:12" x14ac:dyDescent="0.2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417</v>
      </c>
      <c r="G5">
        <v>0.96011999999999997</v>
      </c>
      <c r="H5">
        <v>0.85</v>
      </c>
      <c r="I5">
        <v>105</v>
      </c>
      <c r="J5">
        <v>1</v>
      </c>
      <c r="K5">
        <v>105</v>
      </c>
      <c r="L5">
        <v>105</v>
      </c>
    </row>
    <row r="6" spans="1:12" x14ac:dyDescent="0.2">
      <c r="A6" t="s">
        <v>30</v>
      </c>
      <c r="B6" t="s">
        <v>14</v>
      </c>
      <c r="C6" t="s">
        <v>31</v>
      </c>
      <c r="D6" t="s">
        <v>32</v>
      </c>
      <c r="E6">
        <v>1</v>
      </c>
      <c r="F6" t="s">
        <v>418</v>
      </c>
      <c r="G6">
        <v>0.53198000000000001</v>
      </c>
      <c r="H6">
        <v>3.66</v>
      </c>
      <c r="I6">
        <v>81</v>
      </c>
      <c r="J6">
        <v>0.45700000000000002</v>
      </c>
      <c r="K6">
        <v>118</v>
      </c>
      <c r="L6">
        <v>102</v>
      </c>
    </row>
    <row r="7" spans="1:12" x14ac:dyDescent="0.2">
      <c r="A7" t="s">
        <v>34</v>
      </c>
      <c r="B7" t="s">
        <v>35</v>
      </c>
      <c r="C7" t="s">
        <v>31</v>
      </c>
      <c r="D7" t="s">
        <v>32</v>
      </c>
      <c r="E7">
        <v>1</v>
      </c>
      <c r="F7" t="s">
        <v>418</v>
      </c>
      <c r="G7">
        <v>0.53400000000000003</v>
      </c>
      <c r="H7">
        <v>3.65</v>
      </c>
      <c r="I7">
        <v>81</v>
      </c>
      <c r="J7">
        <v>0.45700000000000002</v>
      </c>
      <c r="K7">
        <v>118</v>
      </c>
      <c r="L7">
        <v>102</v>
      </c>
    </row>
    <row r="8" spans="1:12" x14ac:dyDescent="0.2">
      <c r="A8" t="s">
        <v>36</v>
      </c>
      <c r="B8" t="s">
        <v>14</v>
      </c>
      <c r="C8" t="s">
        <v>37</v>
      </c>
      <c r="D8" t="s">
        <v>38</v>
      </c>
      <c r="E8">
        <v>1</v>
      </c>
      <c r="F8" t="s">
        <v>419</v>
      </c>
      <c r="G8">
        <v>0.45683000000000001</v>
      </c>
      <c r="H8">
        <v>3.88</v>
      </c>
      <c r="I8">
        <v>63</v>
      </c>
      <c r="J8">
        <v>0.69799999999999995</v>
      </c>
      <c r="K8">
        <v>80</v>
      </c>
      <c r="L8">
        <v>80</v>
      </c>
    </row>
    <row r="9" spans="1:12" x14ac:dyDescent="0.2">
      <c r="A9" t="s">
        <v>40</v>
      </c>
      <c r="B9" t="s">
        <v>14</v>
      </c>
      <c r="C9" t="s">
        <v>41</v>
      </c>
      <c r="D9" t="s">
        <v>32</v>
      </c>
      <c r="E9">
        <v>1</v>
      </c>
      <c r="F9" t="s">
        <v>420</v>
      </c>
      <c r="G9">
        <v>0.46666999999999997</v>
      </c>
      <c r="H9">
        <v>3.63</v>
      </c>
      <c r="I9">
        <v>60</v>
      </c>
      <c r="J9">
        <v>0.48299999999999998</v>
      </c>
      <c r="K9">
        <v>64</v>
      </c>
      <c r="L9">
        <v>64</v>
      </c>
    </row>
    <row r="10" spans="1:12" x14ac:dyDescent="0.2">
      <c r="A10" t="s">
        <v>43</v>
      </c>
      <c r="B10" t="s">
        <v>14</v>
      </c>
      <c r="C10" t="s">
        <v>44</v>
      </c>
      <c r="D10" t="s">
        <v>32</v>
      </c>
      <c r="E10">
        <v>1</v>
      </c>
      <c r="F10" t="s">
        <v>420</v>
      </c>
      <c r="G10">
        <v>0.48946000000000001</v>
      </c>
      <c r="H10">
        <v>2.6</v>
      </c>
      <c r="I10">
        <v>45</v>
      </c>
      <c r="J10">
        <v>0.88900000000000001</v>
      </c>
      <c r="K10">
        <v>65</v>
      </c>
      <c r="L10">
        <v>65</v>
      </c>
    </row>
    <row r="11" spans="1:12" x14ac:dyDescent="0.2">
      <c r="A11" t="s">
        <v>45</v>
      </c>
      <c r="B11" t="s">
        <v>14</v>
      </c>
      <c r="C11" t="s">
        <v>46</v>
      </c>
      <c r="D11" t="s">
        <v>47</v>
      </c>
      <c r="E11">
        <v>1</v>
      </c>
      <c r="F11" t="s">
        <v>421</v>
      </c>
      <c r="G11">
        <v>0.28294999999999998</v>
      </c>
      <c r="H11">
        <v>4.07</v>
      </c>
      <c r="I11">
        <v>43</v>
      </c>
      <c r="J11">
        <v>0.30199999999999999</v>
      </c>
      <c r="K11">
        <v>98</v>
      </c>
      <c r="L11">
        <v>79</v>
      </c>
    </row>
    <row r="12" spans="1:12" x14ac:dyDescent="0.2">
      <c r="A12" t="s">
        <v>49</v>
      </c>
      <c r="B12" t="s">
        <v>14</v>
      </c>
      <c r="C12" t="s">
        <v>50</v>
      </c>
      <c r="D12" t="s">
        <v>38</v>
      </c>
      <c r="E12">
        <v>1</v>
      </c>
      <c r="F12" t="s">
        <v>421</v>
      </c>
      <c r="G12">
        <v>0.55854999999999999</v>
      </c>
      <c r="H12">
        <v>2.74</v>
      </c>
      <c r="I12">
        <v>62</v>
      </c>
      <c r="J12">
        <v>0.71</v>
      </c>
      <c r="K12">
        <v>97</v>
      </c>
      <c r="L12">
        <v>79</v>
      </c>
    </row>
    <row r="13" spans="1:12" x14ac:dyDescent="0.2">
      <c r="A13" t="s">
        <v>51</v>
      </c>
      <c r="B13" t="s">
        <v>14</v>
      </c>
      <c r="C13" t="s">
        <v>50</v>
      </c>
      <c r="D13" t="s">
        <v>38</v>
      </c>
      <c r="E13">
        <v>1</v>
      </c>
      <c r="F13" t="s">
        <v>422</v>
      </c>
      <c r="G13">
        <v>0.77305999999999997</v>
      </c>
      <c r="H13">
        <v>1.78</v>
      </c>
      <c r="I13">
        <v>65</v>
      </c>
      <c r="J13">
        <v>0.93799999999999994</v>
      </c>
      <c r="K13">
        <v>66</v>
      </c>
      <c r="L13">
        <v>66</v>
      </c>
    </row>
    <row r="14" spans="1:12" x14ac:dyDescent="0.2">
      <c r="A14" t="s">
        <v>53</v>
      </c>
      <c r="B14" t="s">
        <v>14</v>
      </c>
      <c r="C14" t="s">
        <v>54</v>
      </c>
      <c r="D14" t="s">
        <v>55</v>
      </c>
      <c r="E14">
        <v>1</v>
      </c>
      <c r="F14" t="s">
        <v>423</v>
      </c>
      <c r="G14">
        <v>0.57696000000000003</v>
      </c>
      <c r="H14">
        <v>3.07</v>
      </c>
      <c r="I14">
        <v>81</v>
      </c>
      <c r="J14">
        <v>0.67900000000000005</v>
      </c>
      <c r="K14">
        <v>95</v>
      </c>
      <c r="L14">
        <v>95</v>
      </c>
    </row>
    <row r="15" spans="1:12" x14ac:dyDescent="0.2">
      <c r="A15" t="s">
        <v>57</v>
      </c>
      <c r="B15" t="s">
        <v>14</v>
      </c>
      <c r="C15" t="s">
        <v>58</v>
      </c>
      <c r="D15" t="s">
        <v>59</v>
      </c>
      <c r="E15">
        <v>1</v>
      </c>
      <c r="F15" t="s">
        <v>424</v>
      </c>
      <c r="G15">
        <v>0.30972</v>
      </c>
      <c r="H15">
        <v>4.4000000000000004</v>
      </c>
      <c r="I15">
        <v>62</v>
      </c>
      <c r="J15">
        <v>0.30599999999999999</v>
      </c>
      <c r="K15">
        <v>127</v>
      </c>
      <c r="L15">
        <v>115</v>
      </c>
    </row>
    <row r="16" spans="1:12" x14ac:dyDescent="0.2">
      <c r="A16" t="s">
        <v>61</v>
      </c>
      <c r="B16" t="s">
        <v>14</v>
      </c>
      <c r="C16" t="s">
        <v>62</v>
      </c>
      <c r="D16" t="s">
        <v>59</v>
      </c>
      <c r="E16">
        <v>1</v>
      </c>
      <c r="F16" t="s">
        <v>425</v>
      </c>
      <c r="G16">
        <v>0.26679000000000003</v>
      </c>
      <c r="H16">
        <v>4.7</v>
      </c>
      <c r="I16">
        <v>54</v>
      </c>
      <c r="J16">
        <v>3.6999999999999998E-2</v>
      </c>
      <c r="K16">
        <v>150</v>
      </c>
      <c r="L16">
        <v>113</v>
      </c>
    </row>
    <row r="17" spans="1:12" x14ac:dyDescent="0.2">
      <c r="A17" t="s">
        <v>64</v>
      </c>
      <c r="B17" t="s">
        <v>26</v>
      </c>
      <c r="C17" t="s">
        <v>65</v>
      </c>
      <c r="D17" t="s">
        <v>16</v>
      </c>
      <c r="E17">
        <v>1</v>
      </c>
      <c r="F17" t="s">
        <v>426</v>
      </c>
      <c r="G17">
        <v>0.92225000000000001</v>
      </c>
      <c r="H17">
        <v>1.89</v>
      </c>
      <c r="I17">
        <v>244</v>
      </c>
      <c r="J17">
        <v>0.92600000000000005</v>
      </c>
      <c r="K17">
        <v>271</v>
      </c>
      <c r="L17">
        <v>245</v>
      </c>
    </row>
    <row r="18" spans="1:12" x14ac:dyDescent="0.2">
      <c r="A18" t="s">
        <v>67</v>
      </c>
      <c r="B18" t="s">
        <v>68</v>
      </c>
      <c r="C18" t="s">
        <v>69</v>
      </c>
      <c r="D18" t="s">
        <v>16</v>
      </c>
      <c r="E18">
        <v>0</v>
      </c>
      <c r="F18" t="s">
        <v>426</v>
      </c>
    </row>
    <row r="19" spans="1:12" x14ac:dyDescent="0.2">
      <c r="A19" t="s">
        <v>70</v>
      </c>
      <c r="B19" t="s">
        <v>14</v>
      </c>
      <c r="C19" t="s">
        <v>71</v>
      </c>
      <c r="D19" t="s">
        <v>72</v>
      </c>
      <c r="E19">
        <v>1</v>
      </c>
      <c r="F19" t="s">
        <v>427</v>
      </c>
      <c r="G19">
        <v>0.78974</v>
      </c>
      <c r="H19">
        <v>3.29</v>
      </c>
      <c r="I19">
        <v>183</v>
      </c>
      <c r="J19">
        <v>0.85799999999999998</v>
      </c>
      <c r="K19">
        <v>228</v>
      </c>
      <c r="L19">
        <v>189</v>
      </c>
    </row>
    <row r="20" spans="1:12" x14ac:dyDescent="0.2">
      <c r="A20" t="s">
        <v>74</v>
      </c>
      <c r="B20" t="s">
        <v>14</v>
      </c>
      <c r="C20" t="s">
        <v>71</v>
      </c>
      <c r="D20" t="s">
        <v>72</v>
      </c>
      <c r="E20">
        <v>1</v>
      </c>
      <c r="F20" t="s">
        <v>428</v>
      </c>
      <c r="G20">
        <v>0.78885000000000005</v>
      </c>
      <c r="H20">
        <v>3.31</v>
      </c>
      <c r="I20">
        <v>184</v>
      </c>
      <c r="J20">
        <v>0.83699999999999997</v>
      </c>
      <c r="K20">
        <v>228</v>
      </c>
      <c r="L20">
        <v>189</v>
      </c>
    </row>
    <row r="21" spans="1:12" x14ac:dyDescent="0.2">
      <c r="A21" t="s">
        <v>76</v>
      </c>
      <c r="B21" t="s">
        <v>77</v>
      </c>
      <c r="C21" t="s">
        <v>78</v>
      </c>
      <c r="D21" t="s">
        <v>79</v>
      </c>
      <c r="E21">
        <v>1</v>
      </c>
      <c r="F21" t="s">
        <v>429</v>
      </c>
      <c r="G21">
        <v>0.43071999999999999</v>
      </c>
      <c r="H21">
        <v>4.3099999999999996</v>
      </c>
      <c r="I21">
        <v>130</v>
      </c>
      <c r="J21">
        <v>0.623</v>
      </c>
      <c r="K21">
        <v>238</v>
      </c>
      <c r="L21">
        <v>226</v>
      </c>
    </row>
    <row r="22" spans="1:12" x14ac:dyDescent="0.2">
      <c r="A22" t="s">
        <v>81</v>
      </c>
      <c r="B22" t="s">
        <v>82</v>
      </c>
      <c r="C22" t="s">
        <v>83</v>
      </c>
      <c r="D22" t="s">
        <v>79</v>
      </c>
      <c r="E22">
        <v>1</v>
      </c>
      <c r="F22" t="s">
        <v>429</v>
      </c>
      <c r="G22">
        <v>0.46160000000000001</v>
      </c>
      <c r="H22">
        <v>4.62</v>
      </c>
      <c r="I22">
        <v>141</v>
      </c>
      <c r="J22">
        <v>0.51100000000000001</v>
      </c>
      <c r="K22">
        <v>244</v>
      </c>
      <c r="L22">
        <v>222</v>
      </c>
    </row>
    <row r="23" spans="1:12" x14ac:dyDescent="0.2">
      <c r="A23" t="s">
        <v>84</v>
      </c>
      <c r="B23" t="s">
        <v>77</v>
      </c>
      <c r="C23" t="s">
        <v>85</v>
      </c>
      <c r="D23" t="s">
        <v>86</v>
      </c>
      <c r="E23">
        <v>1</v>
      </c>
      <c r="F23" t="s">
        <v>430</v>
      </c>
      <c r="G23">
        <v>0.68149999999999999</v>
      </c>
      <c r="H23">
        <v>3.2</v>
      </c>
      <c r="I23">
        <v>113</v>
      </c>
      <c r="J23">
        <v>0.77</v>
      </c>
      <c r="K23">
        <v>131</v>
      </c>
      <c r="L23">
        <v>130</v>
      </c>
    </row>
    <row r="24" spans="1:12" x14ac:dyDescent="0.2">
      <c r="A24" t="s">
        <v>88</v>
      </c>
      <c r="B24" t="s">
        <v>77</v>
      </c>
      <c r="C24" t="s">
        <v>85</v>
      </c>
      <c r="D24" t="s">
        <v>86</v>
      </c>
      <c r="E24">
        <v>1</v>
      </c>
      <c r="F24" t="s">
        <v>430</v>
      </c>
      <c r="G24">
        <v>0.68235000000000001</v>
      </c>
      <c r="H24">
        <v>3.2</v>
      </c>
      <c r="I24">
        <v>113</v>
      </c>
      <c r="J24">
        <v>0.77</v>
      </c>
      <c r="K24">
        <v>131</v>
      </c>
      <c r="L24">
        <v>130</v>
      </c>
    </row>
    <row r="25" spans="1:12" x14ac:dyDescent="0.2">
      <c r="A25" t="s">
        <v>89</v>
      </c>
      <c r="B25" t="s">
        <v>14</v>
      </c>
      <c r="C25" t="s">
        <v>90</v>
      </c>
      <c r="D25" t="s">
        <v>91</v>
      </c>
      <c r="E25">
        <v>1</v>
      </c>
      <c r="F25" t="s">
        <v>427</v>
      </c>
      <c r="G25">
        <v>0.82255</v>
      </c>
      <c r="H25">
        <v>2.1800000000000002</v>
      </c>
      <c r="I25">
        <v>74</v>
      </c>
      <c r="J25">
        <v>1</v>
      </c>
      <c r="K25">
        <v>80</v>
      </c>
      <c r="L25">
        <v>77</v>
      </c>
    </row>
    <row r="26" spans="1:12" x14ac:dyDescent="0.2">
      <c r="A26" t="s">
        <v>92</v>
      </c>
      <c r="B26" t="s">
        <v>19</v>
      </c>
      <c r="C26" t="s">
        <v>93</v>
      </c>
      <c r="D26" t="s">
        <v>91</v>
      </c>
      <c r="E26">
        <v>1</v>
      </c>
      <c r="F26" t="s">
        <v>427</v>
      </c>
      <c r="G26">
        <v>0.94089999999999996</v>
      </c>
      <c r="H26">
        <v>0.83</v>
      </c>
      <c r="I26">
        <v>74</v>
      </c>
      <c r="J26">
        <v>1</v>
      </c>
      <c r="K26">
        <v>81</v>
      </c>
      <c r="L26">
        <v>74</v>
      </c>
    </row>
    <row r="27" spans="1:12" x14ac:dyDescent="0.2">
      <c r="A27" t="s">
        <v>94</v>
      </c>
      <c r="B27" t="s">
        <v>26</v>
      </c>
      <c r="C27" t="s">
        <v>95</v>
      </c>
      <c r="D27" t="s">
        <v>96</v>
      </c>
      <c r="E27">
        <v>1</v>
      </c>
      <c r="F27" t="s">
        <v>431</v>
      </c>
      <c r="G27">
        <v>0.95198000000000005</v>
      </c>
      <c r="H27">
        <v>0.73</v>
      </c>
      <c r="I27">
        <v>74</v>
      </c>
      <c r="J27">
        <v>0.97299999999999998</v>
      </c>
      <c r="K27">
        <v>121</v>
      </c>
      <c r="L27">
        <v>74</v>
      </c>
    </row>
    <row r="28" spans="1:12" x14ac:dyDescent="0.2">
      <c r="A28" t="s">
        <v>98</v>
      </c>
      <c r="B28" t="s">
        <v>26</v>
      </c>
      <c r="C28" t="s">
        <v>99</v>
      </c>
      <c r="D28" t="s">
        <v>100</v>
      </c>
      <c r="E28">
        <v>0</v>
      </c>
      <c r="F28" t="s">
        <v>432</v>
      </c>
    </row>
    <row r="29" spans="1:12" x14ac:dyDescent="0.2">
      <c r="A29" t="s">
        <v>102</v>
      </c>
      <c r="B29" t="s">
        <v>68</v>
      </c>
      <c r="C29" t="s">
        <v>103</v>
      </c>
      <c r="D29" t="s">
        <v>104</v>
      </c>
      <c r="E29">
        <v>1</v>
      </c>
      <c r="F29" t="s">
        <v>432</v>
      </c>
      <c r="G29">
        <v>0.81918000000000002</v>
      </c>
      <c r="H29">
        <v>1.89</v>
      </c>
      <c r="I29">
        <v>78</v>
      </c>
      <c r="J29">
        <v>0.84599999999999997</v>
      </c>
      <c r="K29">
        <v>93</v>
      </c>
      <c r="L29">
        <v>83</v>
      </c>
    </row>
    <row r="30" spans="1:12" x14ac:dyDescent="0.2">
      <c r="A30" t="s">
        <v>105</v>
      </c>
      <c r="B30" t="s">
        <v>26</v>
      </c>
      <c r="C30" t="s">
        <v>106</v>
      </c>
      <c r="D30" t="s">
        <v>38</v>
      </c>
      <c r="E30">
        <v>1</v>
      </c>
      <c r="F30" t="s">
        <v>433</v>
      </c>
      <c r="G30">
        <v>0.96857000000000004</v>
      </c>
      <c r="H30">
        <v>1.07</v>
      </c>
      <c r="I30">
        <v>133</v>
      </c>
      <c r="J30">
        <v>1</v>
      </c>
      <c r="K30">
        <v>137</v>
      </c>
      <c r="L30">
        <v>133</v>
      </c>
    </row>
    <row r="31" spans="1:12" x14ac:dyDescent="0.2">
      <c r="A31" t="s">
        <v>108</v>
      </c>
      <c r="B31" t="s">
        <v>26</v>
      </c>
      <c r="C31" t="s">
        <v>109</v>
      </c>
      <c r="D31" t="s">
        <v>104</v>
      </c>
      <c r="E31">
        <v>1</v>
      </c>
      <c r="F31" t="s">
        <v>434</v>
      </c>
      <c r="G31">
        <v>0.97292000000000001</v>
      </c>
      <c r="H31">
        <v>1.47</v>
      </c>
      <c r="I31">
        <v>568</v>
      </c>
      <c r="J31">
        <v>1</v>
      </c>
      <c r="K31">
        <v>605</v>
      </c>
      <c r="L31">
        <v>568</v>
      </c>
    </row>
    <row r="32" spans="1:12" x14ac:dyDescent="0.2">
      <c r="A32" t="s">
        <v>111</v>
      </c>
      <c r="B32" t="s">
        <v>14</v>
      </c>
      <c r="C32" t="s">
        <v>112</v>
      </c>
      <c r="D32" t="s">
        <v>38</v>
      </c>
      <c r="E32">
        <v>1</v>
      </c>
      <c r="F32" t="s">
        <v>435</v>
      </c>
      <c r="G32">
        <v>0.67896999999999996</v>
      </c>
      <c r="H32">
        <v>1.82</v>
      </c>
      <c r="I32">
        <v>64</v>
      </c>
      <c r="J32">
        <v>1</v>
      </c>
      <c r="K32">
        <v>97</v>
      </c>
      <c r="L32">
        <v>79</v>
      </c>
    </row>
    <row r="33" spans="1:12" x14ac:dyDescent="0.2">
      <c r="A33" t="s">
        <v>114</v>
      </c>
      <c r="B33" t="s">
        <v>14</v>
      </c>
      <c r="C33" t="s">
        <v>115</v>
      </c>
      <c r="D33" t="s">
        <v>116</v>
      </c>
      <c r="E33">
        <v>1</v>
      </c>
      <c r="F33" t="s">
        <v>436</v>
      </c>
      <c r="G33">
        <v>0.99043999999999999</v>
      </c>
      <c r="H33">
        <v>0.34</v>
      </c>
      <c r="I33">
        <v>89</v>
      </c>
      <c r="J33">
        <v>0.98899999999999999</v>
      </c>
      <c r="K33">
        <v>118</v>
      </c>
      <c r="L33">
        <v>89</v>
      </c>
    </row>
    <row r="34" spans="1:12" x14ac:dyDescent="0.2">
      <c r="A34" t="s">
        <v>118</v>
      </c>
      <c r="B34" t="s">
        <v>14</v>
      </c>
      <c r="C34" t="s">
        <v>119</v>
      </c>
      <c r="D34" t="s">
        <v>16</v>
      </c>
      <c r="E34">
        <v>1</v>
      </c>
      <c r="F34" t="s">
        <v>437</v>
      </c>
      <c r="G34">
        <v>0.87119000000000002</v>
      </c>
      <c r="H34">
        <v>2.02</v>
      </c>
      <c r="I34">
        <v>121</v>
      </c>
      <c r="J34">
        <v>1</v>
      </c>
      <c r="K34">
        <v>128</v>
      </c>
      <c r="L34">
        <v>124</v>
      </c>
    </row>
    <row r="35" spans="1:12" x14ac:dyDescent="0.2">
      <c r="A35" t="s">
        <v>121</v>
      </c>
      <c r="B35" t="s">
        <v>26</v>
      </c>
      <c r="C35" t="s">
        <v>122</v>
      </c>
      <c r="D35" t="s">
        <v>59</v>
      </c>
      <c r="E35">
        <v>1</v>
      </c>
      <c r="F35" t="s">
        <v>438</v>
      </c>
      <c r="G35">
        <v>0.22303999999999999</v>
      </c>
      <c r="H35">
        <v>4.7699999999999996</v>
      </c>
      <c r="I35">
        <v>40</v>
      </c>
      <c r="J35">
        <v>2.5000000000000001E-2</v>
      </c>
      <c r="K35">
        <v>91</v>
      </c>
      <c r="L35">
        <v>77</v>
      </c>
    </row>
    <row r="36" spans="1:12" x14ac:dyDescent="0.2">
      <c r="A36" t="s">
        <v>124</v>
      </c>
      <c r="B36" t="s">
        <v>14</v>
      </c>
      <c r="C36" t="s">
        <v>125</v>
      </c>
      <c r="D36" t="s">
        <v>126</v>
      </c>
      <c r="E36">
        <v>1</v>
      </c>
      <c r="F36" t="s">
        <v>439</v>
      </c>
      <c r="G36">
        <v>0.92569999999999997</v>
      </c>
      <c r="H36">
        <v>1.42</v>
      </c>
      <c r="I36">
        <v>119</v>
      </c>
      <c r="J36">
        <v>1</v>
      </c>
      <c r="K36">
        <v>155</v>
      </c>
      <c r="L36">
        <v>122</v>
      </c>
    </row>
    <row r="37" spans="1:12" x14ac:dyDescent="0.2">
      <c r="A37" t="s">
        <v>128</v>
      </c>
      <c r="B37" t="s">
        <v>77</v>
      </c>
      <c r="C37" t="s">
        <v>129</v>
      </c>
      <c r="D37" t="s">
        <v>38</v>
      </c>
      <c r="E37">
        <v>1</v>
      </c>
      <c r="F37" t="s">
        <v>440</v>
      </c>
      <c r="G37">
        <v>0.91195000000000004</v>
      </c>
      <c r="H37">
        <v>0.85</v>
      </c>
      <c r="I37">
        <v>54</v>
      </c>
      <c r="J37">
        <v>1</v>
      </c>
      <c r="K37">
        <v>64</v>
      </c>
      <c r="L37">
        <v>56</v>
      </c>
    </row>
    <row r="38" spans="1:12" x14ac:dyDescent="0.2">
      <c r="A38" t="s">
        <v>131</v>
      </c>
      <c r="B38" t="s">
        <v>14</v>
      </c>
      <c r="C38" t="s">
        <v>132</v>
      </c>
      <c r="D38" t="s">
        <v>133</v>
      </c>
      <c r="E38">
        <v>0</v>
      </c>
      <c r="F38" t="s">
        <v>441</v>
      </c>
    </row>
    <row r="39" spans="1:12" x14ac:dyDescent="0.2">
      <c r="A39" t="s">
        <v>135</v>
      </c>
      <c r="B39" t="s">
        <v>136</v>
      </c>
      <c r="C39" t="s">
        <v>137</v>
      </c>
      <c r="D39" t="s">
        <v>47</v>
      </c>
      <c r="E39">
        <v>1</v>
      </c>
      <c r="F39" t="s">
        <v>441</v>
      </c>
    </row>
    <row r="40" spans="1:12" x14ac:dyDescent="0.2">
      <c r="A40" t="s">
        <v>138</v>
      </c>
      <c r="B40" t="s">
        <v>77</v>
      </c>
      <c r="C40" t="s">
        <v>139</v>
      </c>
      <c r="D40" t="s">
        <v>140</v>
      </c>
      <c r="E40">
        <v>1</v>
      </c>
      <c r="F40" t="s">
        <v>442</v>
      </c>
      <c r="G40">
        <v>0.96206999999999998</v>
      </c>
      <c r="H40">
        <v>0.91</v>
      </c>
      <c r="I40">
        <v>79</v>
      </c>
      <c r="J40">
        <v>1</v>
      </c>
      <c r="K40">
        <v>79</v>
      </c>
      <c r="L40">
        <v>79</v>
      </c>
    </row>
    <row r="41" spans="1:12" x14ac:dyDescent="0.2">
      <c r="A41" t="s">
        <v>142</v>
      </c>
      <c r="B41" t="s">
        <v>14</v>
      </c>
      <c r="C41" t="s">
        <v>143</v>
      </c>
      <c r="D41" t="s">
        <v>144</v>
      </c>
      <c r="E41">
        <v>1</v>
      </c>
      <c r="F41" t="s">
        <v>443</v>
      </c>
      <c r="G41">
        <v>0.89615999999999996</v>
      </c>
      <c r="H41">
        <v>1.63</v>
      </c>
      <c r="I41">
        <v>95</v>
      </c>
      <c r="J41">
        <v>0.94699999999999995</v>
      </c>
      <c r="K41">
        <v>98</v>
      </c>
      <c r="L41">
        <v>97</v>
      </c>
    </row>
    <row r="42" spans="1:12" x14ac:dyDescent="0.2">
      <c r="A42" t="s">
        <v>146</v>
      </c>
      <c r="B42" t="s">
        <v>147</v>
      </c>
      <c r="C42" t="s">
        <v>148</v>
      </c>
      <c r="D42" t="s">
        <v>133</v>
      </c>
      <c r="E42">
        <v>0</v>
      </c>
      <c r="F42" t="s">
        <v>444</v>
      </c>
    </row>
    <row r="43" spans="1:12" x14ac:dyDescent="0.2">
      <c r="A43" t="s">
        <v>150</v>
      </c>
      <c r="B43" t="s">
        <v>151</v>
      </c>
      <c r="C43" t="s">
        <v>152</v>
      </c>
      <c r="D43" t="s">
        <v>38</v>
      </c>
      <c r="E43">
        <v>1</v>
      </c>
      <c r="F43" t="s">
        <v>444</v>
      </c>
      <c r="G43">
        <v>0.82077999999999995</v>
      </c>
      <c r="H43">
        <v>1.84</v>
      </c>
      <c r="I43">
        <v>78</v>
      </c>
      <c r="J43">
        <v>0.84599999999999997</v>
      </c>
      <c r="K43">
        <v>93</v>
      </c>
      <c r="L43">
        <v>84</v>
      </c>
    </row>
    <row r="44" spans="1:12" x14ac:dyDescent="0.2">
      <c r="A44" t="s">
        <v>153</v>
      </c>
      <c r="B44" t="s">
        <v>154</v>
      </c>
      <c r="C44" t="s">
        <v>152</v>
      </c>
      <c r="D44" t="s">
        <v>38</v>
      </c>
      <c r="E44">
        <v>1</v>
      </c>
      <c r="F44" t="s">
        <v>444</v>
      </c>
      <c r="G44">
        <v>0.34505999999999998</v>
      </c>
      <c r="H44">
        <v>3.63</v>
      </c>
      <c r="I44">
        <v>46</v>
      </c>
      <c r="J44">
        <v>4.2999999999999997E-2</v>
      </c>
      <c r="K44">
        <v>93</v>
      </c>
      <c r="L44">
        <v>81</v>
      </c>
    </row>
    <row r="45" spans="1:12" x14ac:dyDescent="0.2">
      <c r="A45" t="s">
        <v>155</v>
      </c>
      <c r="B45" t="s">
        <v>156</v>
      </c>
      <c r="C45" t="s">
        <v>148</v>
      </c>
      <c r="D45" t="s">
        <v>133</v>
      </c>
      <c r="E45">
        <v>0</v>
      </c>
      <c r="F45" t="s">
        <v>444</v>
      </c>
    </row>
    <row r="46" spans="1:12" x14ac:dyDescent="0.2">
      <c r="A46" t="s">
        <v>157</v>
      </c>
      <c r="B46" t="s">
        <v>14</v>
      </c>
      <c r="C46" t="s">
        <v>148</v>
      </c>
      <c r="D46" t="s">
        <v>133</v>
      </c>
      <c r="E46">
        <v>0</v>
      </c>
      <c r="F46" t="s">
        <v>444</v>
      </c>
    </row>
    <row r="47" spans="1:12" x14ac:dyDescent="0.2">
      <c r="A47" t="s">
        <v>158</v>
      </c>
      <c r="B47" t="s">
        <v>19</v>
      </c>
      <c r="C47" t="s">
        <v>152</v>
      </c>
      <c r="D47" t="s">
        <v>38</v>
      </c>
      <c r="E47">
        <v>1</v>
      </c>
      <c r="F47" t="s">
        <v>444</v>
      </c>
      <c r="G47">
        <v>0.85394999999999999</v>
      </c>
      <c r="H47">
        <v>1.52</v>
      </c>
      <c r="I47">
        <v>77</v>
      </c>
      <c r="J47">
        <v>0.85699999999999998</v>
      </c>
      <c r="K47">
        <v>93</v>
      </c>
      <c r="L47">
        <v>81</v>
      </c>
    </row>
    <row r="48" spans="1:12" x14ac:dyDescent="0.2">
      <c r="A48" t="s">
        <v>159</v>
      </c>
      <c r="B48" t="s">
        <v>26</v>
      </c>
      <c r="C48" t="s">
        <v>160</v>
      </c>
      <c r="D48" t="s">
        <v>133</v>
      </c>
      <c r="E48">
        <v>0</v>
      </c>
      <c r="F48" t="s">
        <v>445</v>
      </c>
    </row>
    <row r="49" spans="1:12" x14ac:dyDescent="0.2">
      <c r="A49" t="s">
        <v>162</v>
      </c>
      <c r="B49" t="s">
        <v>68</v>
      </c>
      <c r="C49" t="s">
        <v>152</v>
      </c>
      <c r="D49" t="s">
        <v>38</v>
      </c>
      <c r="E49">
        <v>1</v>
      </c>
      <c r="F49" t="s">
        <v>445</v>
      </c>
      <c r="G49">
        <v>0.81766000000000005</v>
      </c>
      <c r="H49">
        <v>1.7</v>
      </c>
      <c r="I49">
        <v>77</v>
      </c>
      <c r="J49">
        <v>0.85699999999999998</v>
      </c>
      <c r="K49">
        <v>93</v>
      </c>
      <c r="L49">
        <v>83</v>
      </c>
    </row>
    <row r="50" spans="1:12" x14ac:dyDescent="0.2">
      <c r="A50" t="s">
        <v>163</v>
      </c>
      <c r="B50" t="s">
        <v>164</v>
      </c>
      <c r="C50" t="s">
        <v>152</v>
      </c>
      <c r="D50" t="s">
        <v>38</v>
      </c>
      <c r="E50">
        <v>1</v>
      </c>
      <c r="F50" t="s">
        <v>445</v>
      </c>
      <c r="G50">
        <v>0.35709000000000002</v>
      </c>
      <c r="H50">
        <v>2.87</v>
      </c>
      <c r="I50">
        <v>38</v>
      </c>
      <c r="J50">
        <v>7.9000000000000001E-2</v>
      </c>
      <c r="K50">
        <v>93</v>
      </c>
      <c r="L50">
        <v>70</v>
      </c>
    </row>
    <row r="51" spans="1:12" x14ac:dyDescent="0.2">
      <c r="A51" t="s">
        <v>165</v>
      </c>
      <c r="B51" t="s">
        <v>166</v>
      </c>
      <c r="C51" t="s">
        <v>160</v>
      </c>
      <c r="D51" t="s">
        <v>167</v>
      </c>
      <c r="E51">
        <v>0</v>
      </c>
      <c r="F51" t="s">
        <v>445</v>
      </c>
    </row>
    <row r="52" spans="1:12" x14ac:dyDescent="0.2">
      <c r="A52" t="s">
        <v>168</v>
      </c>
      <c r="B52" t="s">
        <v>14</v>
      </c>
      <c r="C52" t="s">
        <v>169</v>
      </c>
      <c r="D52" t="s">
        <v>170</v>
      </c>
      <c r="E52">
        <v>1</v>
      </c>
      <c r="F52" t="s">
        <v>446</v>
      </c>
      <c r="G52">
        <v>0.3659</v>
      </c>
      <c r="H52">
        <v>2.58</v>
      </c>
      <c r="I52">
        <v>34</v>
      </c>
      <c r="J52">
        <v>0.91200000000000003</v>
      </c>
      <c r="K52">
        <v>75</v>
      </c>
      <c r="L52">
        <v>75</v>
      </c>
    </row>
    <row r="53" spans="1:12" x14ac:dyDescent="0.2">
      <c r="A53" t="s">
        <v>172</v>
      </c>
      <c r="B53" t="s">
        <v>77</v>
      </c>
      <c r="C53" t="s">
        <v>173</v>
      </c>
      <c r="D53" t="s">
        <v>174</v>
      </c>
      <c r="E53">
        <v>1</v>
      </c>
      <c r="F53" t="s">
        <v>447</v>
      </c>
      <c r="G53">
        <v>0.73097000000000001</v>
      </c>
      <c r="H53">
        <v>2.0699999999999998</v>
      </c>
      <c r="I53">
        <v>67</v>
      </c>
      <c r="J53">
        <v>0.91</v>
      </c>
      <c r="K53">
        <v>79</v>
      </c>
      <c r="L53">
        <v>79</v>
      </c>
    </row>
    <row r="54" spans="1:12" x14ac:dyDescent="0.2">
      <c r="A54" t="s">
        <v>176</v>
      </c>
      <c r="B54" t="s">
        <v>14</v>
      </c>
      <c r="C54" t="s">
        <v>160</v>
      </c>
      <c r="D54" t="s">
        <v>133</v>
      </c>
      <c r="E54">
        <v>0</v>
      </c>
      <c r="F54" t="s">
        <v>448</v>
      </c>
    </row>
    <row r="55" spans="1:12" x14ac:dyDescent="0.2">
      <c r="A55" t="s">
        <v>178</v>
      </c>
      <c r="B55" t="s">
        <v>19</v>
      </c>
      <c r="C55" t="s">
        <v>50</v>
      </c>
      <c r="D55" t="s">
        <v>38</v>
      </c>
      <c r="E55">
        <v>1</v>
      </c>
      <c r="F55" t="s">
        <v>448</v>
      </c>
      <c r="G55">
        <v>0.82730000000000004</v>
      </c>
      <c r="H55">
        <v>2.11</v>
      </c>
      <c r="I55">
        <v>66</v>
      </c>
      <c r="J55">
        <v>1</v>
      </c>
      <c r="K55">
        <v>68</v>
      </c>
      <c r="L55">
        <v>68</v>
      </c>
    </row>
    <row r="56" spans="1:12" x14ac:dyDescent="0.2">
      <c r="A56" t="s">
        <v>179</v>
      </c>
      <c r="B56" t="s">
        <v>26</v>
      </c>
      <c r="C56" t="s">
        <v>46</v>
      </c>
      <c r="D56" t="s">
        <v>180</v>
      </c>
      <c r="E56">
        <v>1</v>
      </c>
      <c r="F56" t="s">
        <v>449</v>
      </c>
      <c r="G56">
        <v>0.37615999999999999</v>
      </c>
      <c r="H56">
        <v>3.61</v>
      </c>
      <c r="I56">
        <v>49</v>
      </c>
      <c r="J56">
        <v>0.40799999999999997</v>
      </c>
      <c r="K56">
        <v>80</v>
      </c>
      <c r="L56">
        <v>77</v>
      </c>
    </row>
    <row r="57" spans="1:12" x14ac:dyDescent="0.2">
      <c r="A57" t="s">
        <v>182</v>
      </c>
      <c r="B57" t="s">
        <v>183</v>
      </c>
      <c r="C57" t="s">
        <v>46</v>
      </c>
      <c r="D57" t="s">
        <v>184</v>
      </c>
      <c r="E57">
        <v>1</v>
      </c>
      <c r="F57" t="s">
        <v>450</v>
      </c>
      <c r="G57">
        <v>0.95964000000000005</v>
      </c>
      <c r="H57">
        <v>0.86</v>
      </c>
      <c r="I57">
        <v>67</v>
      </c>
      <c r="J57">
        <v>1</v>
      </c>
      <c r="K57">
        <v>68</v>
      </c>
      <c r="L57">
        <v>67</v>
      </c>
    </row>
    <row r="58" spans="1:12" x14ac:dyDescent="0.2">
      <c r="A58" t="s">
        <v>186</v>
      </c>
      <c r="B58" t="s">
        <v>14</v>
      </c>
      <c r="C58" t="s">
        <v>169</v>
      </c>
      <c r="D58" t="s">
        <v>187</v>
      </c>
      <c r="E58">
        <v>1</v>
      </c>
      <c r="F58" t="s">
        <v>451</v>
      </c>
      <c r="G58">
        <v>0.56074000000000002</v>
      </c>
      <c r="H58">
        <v>3.93</v>
      </c>
      <c r="I58">
        <v>118</v>
      </c>
      <c r="J58">
        <v>0.66100000000000003</v>
      </c>
      <c r="K58">
        <v>157</v>
      </c>
      <c r="L58">
        <v>136</v>
      </c>
    </row>
    <row r="59" spans="1:12" x14ac:dyDescent="0.2">
      <c r="A59" t="s">
        <v>189</v>
      </c>
      <c r="B59" t="s">
        <v>14</v>
      </c>
      <c r="C59" t="s">
        <v>190</v>
      </c>
      <c r="D59" t="s">
        <v>191</v>
      </c>
      <c r="E59">
        <v>1</v>
      </c>
      <c r="F59" t="s">
        <v>452</v>
      </c>
      <c r="G59">
        <v>0.30736000000000002</v>
      </c>
      <c r="H59">
        <v>4.57</v>
      </c>
      <c r="I59">
        <v>75</v>
      </c>
      <c r="J59">
        <v>9.2999999999999999E-2</v>
      </c>
      <c r="K59">
        <v>158</v>
      </c>
      <c r="L59">
        <v>158</v>
      </c>
    </row>
    <row r="60" spans="1:12" x14ac:dyDescent="0.2">
      <c r="A60" t="s">
        <v>193</v>
      </c>
      <c r="B60" t="s">
        <v>14</v>
      </c>
      <c r="C60" t="s">
        <v>194</v>
      </c>
      <c r="D60" t="s">
        <v>140</v>
      </c>
      <c r="E60">
        <v>1</v>
      </c>
      <c r="F60" t="s">
        <v>453</v>
      </c>
      <c r="G60">
        <v>0.30260999999999999</v>
      </c>
      <c r="H60">
        <v>4.87</v>
      </c>
      <c r="I60">
        <v>75</v>
      </c>
      <c r="J60">
        <v>0.04</v>
      </c>
      <c r="K60">
        <v>143</v>
      </c>
      <c r="L60">
        <v>143</v>
      </c>
    </row>
    <row r="61" spans="1:12" x14ac:dyDescent="0.2">
      <c r="A61" t="s">
        <v>196</v>
      </c>
      <c r="B61" t="s">
        <v>197</v>
      </c>
      <c r="C61" t="s">
        <v>148</v>
      </c>
      <c r="D61" t="s">
        <v>133</v>
      </c>
      <c r="E61">
        <v>0</v>
      </c>
      <c r="F61" t="s">
        <v>454</v>
      </c>
    </row>
    <row r="62" spans="1:12" x14ac:dyDescent="0.2">
      <c r="A62" t="s">
        <v>199</v>
      </c>
      <c r="B62" t="s">
        <v>200</v>
      </c>
      <c r="C62" t="s">
        <v>152</v>
      </c>
      <c r="D62" t="s">
        <v>201</v>
      </c>
      <c r="E62">
        <v>1</v>
      </c>
      <c r="F62" t="s">
        <v>454</v>
      </c>
      <c r="G62">
        <v>0.42946000000000001</v>
      </c>
      <c r="H62">
        <v>3.7</v>
      </c>
      <c r="I62">
        <v>57</v>
      </c>
      <c r="J62">
        <v>0.70199999999999996</v>
      </c>
      <c r="K62">
        <v>93</v>
      </c>
      <c r="L62">
        <v>80</v>
      </c>
    </row>
    <row r="63" spans="1:12" x14ac:dyDescent="0.2">
      <c r="A63" t="s">
        <v>202</v>
      </c>
      <c r="B63" t="s">
        <v>14</v>
      </c>
      <c r="C63" t="s">
        <v>203</v>
      </c>
      <c r="D63" t="s">
        <v>204</v>
      </c>
      <c r="E63">
        <v>1</v>
      </c>
      <c r="F63" t="s">
        <v>455</v>
      </c>
      <c r="G63">
        <v>0.28249999999999997</v>
      </c>
      <c r="H63">
        <v>4.76</v>
      </c>
      <c r="I63">
        <v>61</v>
      </c>
      <c r="J63">
        <v>0.47499999999999998</v>
      </c>
      <c r="K63">
        <v>125</v>
      </c>
      <c r="L63">
        <v>124</v>
      </c>
    </row>
    <row r="64" spans="1:12" x14ac:dyDescent="0.2">
      <c r="A64" t="s">
        <v>206</v>
      </c>
      <c r="B64" t="s">
        <v>154</v>
      </c>
      <c r="C64" t="s">
        <v>207</v>
      </c>
      <c r="D64" t="s">
        <v>208</v>
      </c>
      <c r="E64">
        <v>0</v>
      </c>
      <c r="F64" t="s">
        <v>456</v>
      </c>
    </row>
    <row r="65" spans="1:12" x14ac:dyDescent="0.2">
      <c r="A65" t="s">
        <v>210</v>
      </c>
      <c r="B65" t="s">
        <v>136</v>
      </c>
      <c r="C65" t="s">
        <v>152</v>
      </c>
      <c r="D65" t="s">
        <v>38</v>
      </c>
      <c r="E65">
        <v>1</v>
      </c>
      <c r="F65" t="s">
        <v>456</v>
      </c>
      <c r="G65">
        <v>0.2969</v>
      </c>
      <c r="H65">
        <v>3.55</v>
      </c>
      <c r="I65">
        <v>40</v>
      </c>
      <c r="J65">
        <v>0.05</v>
      </c>
      <c r="K65">
        <v>94</v>
      </c>
      <c r="L65">
        <v>74</v>
      </c>
    </row>
    <row r="66" spans="1:12" x14ac:dyDescent="0.2">
      <c r="A66" t="s">
        <v>211</v>
      </c>
      <c r="B66" t="s">
        <v>14</v>
      </c>
      <c r="C66" t="s">
        <v>212</v>
      </c>
      <c r="D66" t="s">
        <v>213</v>
      </c>
      <c r="E66">
        <v>1</v>
      </c>
      <c r="F66" t="s">
        <v>457</v>
      </c>
      <c r="G66">
        <v>0.48887999999999998</v>
      </c>
      <c r="H66">
        <v>2.78</v>
      </c>
      <c r="I66">
        <v>45</v>
      </c>
      <c r="J66">
        <v>0.64400000000000002</v>
      </c>
      <c r="K66">
        <v>50</v>
      </c>
      <c r="L66">
        <v>49</v>
      </c>
    </row>
    <row r="67" spans="1:12" x14ac:dyDescent="0.2">
      <c r="A67" t="s">
        <v>215</v>
      </c>
      <c r="B67" t="s">
        <v>14</v>
      </c>
      <c r="C67" t="s">
        <v>216</v>
      </c>
      <c r="D67" t="s">
        <v>217</v>
      </c>
      <c r="E67">
        <v>1</v>
      </c>
      <c r="F67" t="s">
        <v>458</v>
      </c>
      <c r="G67">
        <v>0.28788999999999998</v>
      </c>
      <c r="H67">
        <v>4.7300000000000004</v>
      </c>
      <c r="I67">
        <v>58</v>
      </c>
      <c r="J67">
        <v>5.1999999999999998E-2</v>
      </c>
      <c r="K67">
        <v>114</v>
      </c>
      <c r="L67">
        <v>113</v>
      </c>
    </row>
    <row r="68" spans="1:12" x14ac:dyDescent="0.2">
      <c r="A68" t="s">
        <v>219</v>
      </c>
      <c r="B68" t="s">
        <v>14</v>
      </c>
      <c r="C68" t="s">
        <v>220</v>
      </c>
      <c r="D68" t="s">
        <v>221</v>
      </c>
      <c r="E68">
        <v>0</v>
      </c>
      <c r="F68" t="s">
        <v>459</v>
      </c>
    </row>
    <row r="69" spans="1:12" x14ac:dyDescent="0.2">
      <c r="A69" t="s">
        <v>223</v>
      </c>
      <c r="B69" t="s">
        <v>19</v>
      </c>
      <c r="C69" t="s">
        <v>224</v>
      </c>
      <c r="D69" t="s">
        <v>225</v>
      </c>
      <c r="E69">
        <v>1</v>
      </c>
      <c r="F69" t="s">
        <v>459</v>
      </c>
      <c r="G69">
        <v>0.36326000000000003</v>
      </c>
      <c r="H69">
        <v>4.16</v>
      </c>
      <c r="I69">
        <v>62</v>
      </c>
      <c r="J69">
        <v>6.5000000000000002E-2</v>
      </c>
      <c r="K69">
        <v>93</v>
      </c>
      <c r="L69">
        <v>91</v>
      </c>
    </row>
    <row r="70" spans="1:12" x14ac:dyDescent="0.2">
      <c r="A70" t="s">
        <v>226</v>
      </c>
      <c r="B70" t="s">
        <v>82</v>
      </c>
      <c r="C70" t="s">
        <v>227</v>
      </c>
      <c r="D70" t="s">
        <v>221</v>
      </c>
      <c r="E70">
        <v>0</v>
      </c>
      <c r="F70" t="s">
        <v>460</v>
      </c>
    </row>
    <row r="71" spans="1:12" x14ac:dyDescent="0.2">
      <c r="A71" t="s">
        <v>229</v>
      </c>
      <c r="B71" t="s">
        <v>230</v>
      </c>
      <c r="C71" t="s">
        <v>231</v>
      </c>
      <c r="D71" t="s">
        <v>232</v>
      </c>
      <c r="E71">
        <v>1</v>
      </c>
      <c r="F71" t="s">
        <v>460</v>
      </c>
      <c r="G71">
        <v>0.31320999999999999</v>
      </c>
      <c r="H71">
        <v>4.5999999999999996</v>
      </c>
      <c r="I71">
        <v>58</v>
      </c>
      <c r="J71">
        <v>5.1999999999999998E-2</v>
      </c>
      <c r="K71">
        <v>95</v>
      </c>
      <c r="L71">
        <v>91</v>
      </c>
    </row>
    <row r="72" spans="1:12" x14ac:dyDescent="0.2">
      <c r="A72" t="s">
        <v>233</v>
      </c>
      <c r="B72" t="s">
        <v>14</v>
      </c>
      <c r="C72" t="s">
        <v>234</v>
      </c>
      <c r="D72" t="s">
        <v>208</v>
      </c>
      <c r="E72">
        <v>0</v>
      </c>
      <c r="F72" t="s">
        <v>461</v>
      </c>
    </row>
    <row r="73" spans="1:12" x14ac:dyDescent="0.2">
      <c r="A73" t="s">
        <v>236</v>
      </c>
      <c r="B73" t="s">
        <v>19</v>
      </c>
      <c r="C73" t="s">
        <v>237</v>
      </c>
      <c r="D73" t="s">
        <v>238</v>
      </c>
      <c r="E73">
        <v>1</v>
      </c>
      <c r="F73" t="s">
        <v>461</v>
      </c>
      <c r="G73">
        <v>0.69559000000000004</v>
      </c>
      <c r="H73">
        <v>1.76</v>
      </c>
      <c r="I73">
        <v>25</v>
      </c>
      <c r="J73">
        <v>1</v>
      </c>
      <c r="K73">
        <v>51</v>
      </c>
      <c r="L73">
        <v>27</v>
      </c>
    </row>
    <row r="74" spans="1:12" x14ac:dyDescent="0.2">
      <c r="A74" t="s">
        <v>239</v>
      </c>
      <c r="B74" t="s">
        <v>14</v>
      </c>
      <c r="C74" t="s">
        <v>240</v>
      </c>
      <c r="D74" t="s">
        <v>241</v>
      </c>
      <c r="E74">
        <v>1</v>
      </c>
      <c r="F74" t="s">
        <v>462</v>
      </c>
      <c r="G74">
        <v>0.32180999999999998</v>
      </c>
      <c r="H74">
        <v>6.07</v>
      </c>
      <c r="I74">
        <v>122</v>
      </c>
      <c r="J74">
        <v>7.3999999999999996E-2</v>
      </c>
      <c r="K74">
        <v>267</v>
      </c>
      <c r="L74">
        <v>209</v>
      </c>
    </row>
    <row r="75" spans="1:12" x14ac:dyDescent="0.2">
      <c r="A75" t="s">
        <v>243</v>
      </c>
      <c r="B75" t="s">
        <v>26</v>
      </c>
      <c r="C75" t="s">
        <v>244</v>
      </c>
      <c r="D75" t="s">
        <v>241</v>
      </c>
      <c r="E75">
        <v>1</v>
      </c>
      <c r="F75" t="s">
        <v>462</v>
      </c>
      <c r="G75">
        <v>0.35813</v>
      </c>
      <c r="H75">
        <v>4.88</v>
      </c>
      <c r="I75">
        <v>104</v>
      </c>
      <c r="J75">
        <v>0.45200000000000001</v>
      </c>
      <c r="K75">
        <v>185</v>
      </c>
      <c r="L75">
        <v>185</v>
      </c>
    </row>
    <row r="76" spans="1:12" x14ac:dyDescent="0.2">
      <c r="A76" t="s">
        <v>245</v>
      </c>
      <c r="B76" t="s">
        <v>246</v>
      </c>
      <c r="C76" t="s">
        <v>247</v>
      </c>
      <c r="D76" t="s">
        <v>241</v>
      </c>
      <c r="E76">
        <v>0</v>
      </c>
      <c r="F76" t="s">
        <v>462</v>
      </c>
    </row>
    <row r="77" spans="1:12" x14ac:dyDescent="0.2">
      <c r="A77" t="s">
        <v>248</v>
      </c>
      <c r="B77" t="s">
        <v>249</v>
      </c>
      <c r="C77" t="s">
        <v>250</v>
      </c>
      <c r="D77" t="s">
        <v>251</v>
      </c>
      <c r="E77">
        <v>0</v>
      </c>
      <c r="F77" t="s">
        <v>463</v>
      </c>
    </row>
    <row r="78" spans="1:12" x14ac:dyDescent="0.2">
      <c r="A78" t="s">
        <v>253</v>
      </c>
      <c r="B78" t="s">
        <v>254</v>
      </c>
      <c r="C78" t="s">
        <v>255</v>
      </c>
      <c r="D78" t="s">
        <v>217</v>
      </c>
      <c r="E78">
        <v>1</v>
      </c>
      <c r="F78" t="s">
        <v>463</v>
      </c>
      <c r="G78">
        <v>0.48843999999999999</v>
      </c>
      <c r="H78">
        <v>6.13</v>
      </c>
      <c r="I78">
        <v>315</v>
      </c>
      <c r="J78">
        <v>0.41</v>
      </c>
      <c r="K78">
        <v>434</v>
      </c>
      <c r="L78">
        <v>431</v>
      </c>
    </row>
    <row r="79" spans="1:12" x14ac:dyDescent="0.2">
      <c r="A79" t="s">
        <v>256</v>
      </c>
      <c r="B79" t="s">
        <v>26</v>
      </c>
      <c r="C79" t="s">
        <v>257</v>
      </c>
      <c r="D79" t="s">
        <v>217</v>
      </c>
      <c r="E79">
        <v>1</v>
      </c>
      <c r="F79" t="s">
        <v>464</v>
      </c>
      <c r="G79">
        <v>0.78097000000000005</v>
      </c>
      <c r="H79">
        <v>3.83</v>
      </c>
      <c r="I79">
        <v>350</v>
      </c>
      <c r="J79">
        <v>0.64600000000000002</v>
      </c>
      <c r="K79">
        <v>575</v>
      </c>
      <c r="L79">
        <v>362</v>
      </c>
    </row>
    <row r="80" spans="1:12" x14ac:dyDescent="0.2">
      <c r="A80" t="s">
        <v>259</v>
      </c>
      <c r="B80" t="s">
        <v>260</v>
      </c>
      <c r="C80" t="s">
        <v>261</v>
      </c>
      <c r="D80" t="s">
        <v>251</v>
      </c>
      <c r="E80">
        <v>0</v>
      </c>
      <c r="F80" t="s">
        <v>465</v>
      </c>
    </row>
    <row r="81" spans="1:12" x14ac:dyDescent="0.2">
      <c r="A81" t="s">
        <v>263</v>
      </c>
      <c r="B81" t="s">
        <v>264</v>
      </c>
      <c r="C81" t="s">
        <v>257</v>
      </c>
      <c r="D81" t="s">
        <v>217</v>
      </c>
      <c r="E81">
        <v>1</v>
      </c>
      <c r="F81" t="s">
        <v>465</v>
      </c>
      <c r="G81">
        <v>0.75568000000000002</v>
      </c>
      <c r="H81">
        <v>4.37</v>
      </c>
      <c r="I81">
        <v>379</v>
      </c>
      <c r="J81">
        <v>0.76300000000000001</v>
      </c>
      <c r="K81">
        <v>575</v>
      </c>
      <c r="L81">
        <v>394</v>
      </c>
    </row>
    <row r="82" spans="1:12" x14ac:dyDescent="0.2">
      <c r="A82" t="s">
        <v>265</v>
      </c>
      <c r="B82" t="s">
        <v>14</v>
      </c>
      <c r="C82" t="s">
        <v>261</v>
      </c>
      <c r="D82" t="s">
        <v>251</v>
      </c>
      <c r="E82">
        <v>0</v>
      </c>
      <c r="F82" t="s">
        <v>466</v>
      </c>
    </row>
    <row r="83" spans="1:12" x14ac:dyDescent="0.2">
      <c r="A83" t="s">
        <v>267</v>
      </c>
      <c r="B83" t="s">
        <v>19</v>
      </c>
      <c r="C83" t="s">
        <v>257</v>
      </c>
      <c r="D83" t="s">
        <v>217</v>
      </c>
      <c r="E83">
        <v>1</v>
      </c>
      <c r="F83" t="s">
        <v>466</v>
      </c>
      <c r="G83">
        <v>0.42748999999999998</v>
      </c>
      <c r="H83">
        <v>6.1</v>
      </c>
      <c r="I83">
        <v>250</v>
      </c>
      <c r="J83">
        <v>0.46</v>
      </c>
      <c r="K83">
        <v>441</v>
      </c>
      <c r="L83">
        <v>379</v>
      </c>
    </row>
    <row r="84" spans="1:12" x14ac:dyDescent="0.2">
      <c r="A84" t="s">
        <v>268</v>
      </c>
      <c r="B84" t="s">
        <v>14</v>
      </c>
      <c r="C84" t="s">
        <v>269</v>
      </c>
      <c r="D84" t="s">
        <v>238</v>
      </c>
      <c r="E84">
        <v>1</v>
      </c>
      <c r="F84" t="s">
        <v>467</v>
      </c>
      <c r="G84">
        <v>0.75200999999999996</v>
      </c>
      <c r="H84">
        <v>1.76</v>
      </c>
      <c r="I84">
        <v>56</v>
      </c>
      <c r="J84">
        <v>1</v>
      </c>
      <c r="K84">
        <v>60</v>
      </c>
      <c r="L84">
        <v>60</v>
      </c>
    </row>
    <row r="85" spans="1:12" x14ac:dyDescent="0.2">
      <c r="A85" t="s">
        <v>271</v>
      </c>
      <c r="B85" t="s">
        <v>14</v>
      </c>
      <c r="C85" t="s">
        <v>269</v>
      </c>
      <c r="D85" t="s">
        <v>238</v>
      </c>
      <c r="E85">
        <v>1</v>
      </c>
      <c r="F85" t="s">
        <v>467</v>
      </c>
      <c r="G85">
        <v>0.61499999999999999</v>
      </c>
      <c r="H85">
        <v>2.2200000000000002</v>
      </c>
      <c r="I85">
        <v>67</v>
      </c>
      <c r="J85">
        <v>0.97</v>
      </c>
      <c r="K85">
        <v>89</v>
      </c>
      <c r="L85">
        <v>89</v>
      </c>
    </row>
    <row r="86" spans="1:12" x14ac:dyDescent="0.2">
      <c r="A86" t="s">
        <v>272</v>
      </c>
      <c r="B86" t="s">
        <v>14</v>
      </c>
      <c r="C86" t="s">
        <v>269</v>
      </c>
      <c r="D86" t="s">
        <v>238</v>
      </c>
      <c r="E86">
        <v>1</v>
      </c>
      <c r="F86" t="s">
        <v>467</v>
      </c>
      <c r="G86">
        <v>0.32385000000000003</v>
      </c>
      <c r="H86">
        <v>3.43</v>
      </c>
      <c r="I86">
        <v>44</v>
      </c>
      <c r="J86">
        <v>0.61399999999999999</v>
      </c>
      <c r="K86">
        <v>95</v>
      </c>
      <c r="L86">
        <v>91</v>
      </c>
    </row>
    <row r="87" spans="1:12" x14ac:dyDescent="0.2">
      <c r="A87" t="s">
        <v>273</v>
      </c>
      <c r="B87" t="s">
        <v>82</v>
      </c>
      <c r="C87" t="s">
        <v>274</v>
      </c>
      <c r="D87" t="s">
        <v>275</v>
      </c>
      <c r="E87">
        <v>1</v>
      </c>
      <c r="F87" t="s">
        <v>468</v>
      </c>
      <c r="G87">
        <v>0.94623000000000002</v>
      </c>
      <c r="H87">
        <v>1.39</v>
      </c>
      <c r="I87">
        <v>112</v>
      </c>
      <c r="J87">
        <v>0.85699999999999998</v>
      </c>
      <c r="K87">
        <v>144</v>
      </c>
      <c r="L87">
        <v>112</v>
      </c>
    </row>
    <row r="88" spans="1:12" x14ac:dyDescent="0.2">
      <c r="A88" t="s">
        <v>277</v>
      </c>
      <c r="B88" t="s">
        <v>14</v>
      </c>
      <c r="C88" t="s">
        <v>278</v>
      </c>
      <c r="D88" t="s">
        <v>279</v>
      </c>
      <c r="E88">
        <v>1</v>
      </c>
      <c r="F88" t="s">
        <v>469</v>
      </c>
      <c r="G88">
        <v>0.66642999999999997</v>
      </c>
      <c r="H88">
        <v>2.83</v>
      </c>
      <c r="I88">
        <v>83</v>
      </c>
      <c r="J88">
        <v>0.81899999999999995</v>
      </c>
      <c r="K88">
        <v>155</v>
      </c>
      <c r="L88">
        <v>89</v>
      </c>
    </row>
    <row r="89" spans="1:12" x14ac:dyDescent="0.2">
      <c r="A89" t="s">
        <v>281</v>
      </c>
      <c r="B89" t="s">
        <v>35</v>
      </c>
      <c r="C89" t="s">
        <v>282</v>
      </c>
      <c r="D89" t="s">
        <v>59</v>
      </c>
      <c r="E89">
        <v>1</v>
      </c>
      <c r="F89" t="s">
        <v>470</v>
      </c>
    </row>
    <row r="90" spans="1:12" x14ac:dyDescent="0.2">
      <c r="A90" t="s">
        <v>284</v>
      </c>
      <c r="B90" t="s">
        <v>26</v>
      </c>
      <c r="C90" t="s">
        <v>285</v>
      </c>
      <c r="D90" t="s">
        <v>59</v>
      </c>
      <c r="E90">
        <v>1</v>
      </c>
      <c r="F90" t="s">
        <v>470</v>
      </c>
    </row>
    <row r="91" spans="1:12" x14ac:dyDescent="0.2">
      <c r="A91" t="s">
        <v>286</v>
      </c>
      <c r="B91" t="s">
        <v>14</v>
      </c>
      <c r="C91" t="s">
        <v>287</v>
      </c>
      <c r="D91" t="s">
        <v>241</v>
      </c>
      <c r="E91">
        <v>1</v>
      </c>
      <c r="F91" t="s">
        <v>471</v>
      </c>
      <c r="G91">
        <v>0.27837000000000001</v>
      </c>
      <c r="H91">
        <v>4.3899999999999997</v>
      </c>
      <c r="I91">
        <v>48</v>
      </c>
      <c r="J91">
        <v>0.104</v>
      </c>
      <c r="K91">
        <v>95</v>
      </c>
      <c r="L91">
        <v>89</v>
      </c>
    </row>
    <row r="92" spans="1:12" x14ac:dyDescent="0.2">
      <c r="A92" t="s">
        <v>289</v>
      </c>
      <c r="B92" t="s">
        <v>26</v>
      </c>
      <c r="C92" t="s">
        <v>290</v>
      </c>
      <c r="D92" t="s">
        <v>241</v>
      </c>
      <c r="E92">
        <v>1</v>
      </c>
      <c r="F92" t="s">
        <v>471</v>
      </c>
      <c r="G92">
        <v>0.37369000000000002</v>
      </c>
      <c r="H92">
        <v>5.3</v>
      </c>
      <c r="I92">
        <v>109</v>
      </c>
      <c r="J92">
        <v>0.67900000000000005</v>
      </c>
      <c r="K92">
        <v>170</v>
      </c>
      <c r="L92">
        <v>169</v>
      </c>
    </row>
    <row r="93" spans="1:12" x14ac:dyDescent="0.2">
      <c r="A93" t="s">
        <v>291</v>
      </c>
      <c r="B93" t="s">
        <v>68</v>
      </c>
      <c r="C93" t="s">
        <v>290</v>
      </c>
      <c r="D93" t="s">
        <v>241</v>
      </c>
      <c r="E93">
        <v>0</v>
      </c>
      <c r="F93" t="s">
        <v>471</v>
      </c>
    </row>
    <row r="94" spans="1:12" x14ac:dyDescent="0.2">
      <c r="A94" t="s">
        <v>292</v>
      </c>
      <c r="B94" t="s">
        <v>26</v>
      </c>
      <c r="C94" t="s">
        <v>293</v>
      </c>
      <c r="D94" t="s">
        <v>294</v>
      </c>
      <c r="E94">
        <v>1</v>
      </c>
      <c r="F94" t="s">
        <v>472</v>
      </c>
      <c r="G94">
        <v>0.34483000000000003</v>
      </c>
      <c r="H94">
        <v>4.1500000000000004</v>
      </c>
      <c r="I94">
        <v>56</v>
      </c>
      <c r="J94">
        <v>3.5999999999999997E-2</v>
      </c>
      <c r="K94">
        <v>93</v>
      </c>
      <c r="L94">
        <v>93</v>
      </c>
    </row>
    <row r="95" spans="1:12" x14ac:dyDescent="0.2">
      <c r="A95" t="s">
        <v>296</v>
      </c>
      <c r="B95" t="s">
        <v>14</v>
      </c>
      <c r="C95" t="s">
        <v>297</v>
      </c>
      <c r="D95" t="s">
        <v>298</v>
      </c>
      <c r="E95">
        <v>1</v>
      </c>
      <c r="F95" t="s">
        <v>472</v>
      </c>
      <c r="G95">
        <v>0.90220999999999996</v>
      </c>
      <c r="H95">
        <v>1.4</v>
      </c>
      <c r="I95">
        <v>91</v>
      </c>
      <c r="J95">
        <v>1</v>
      </c>
      <c r="K95">
        <v>104</v>
      </c>
      <c r="L95">
        <v>95</v>
      </c>
    </row>
    <row r="96" spans="1:12" x14ac:dyDescent="0.2">
      <c r="A96" t="s">
        <v>299</v>
      </c>
      <c r="B96" t="s">
        <v>26</v>
      </c>
      <c r="C96" t="s">
        <v>300</v>
      </c>
      <c r="D96" t="s">
        <v>294</v>
      </c>
      <c r="E96">
        <v>1</v>
      </c>
      <c r="F96" t="s">
        <v>472</v>
      </c>
      <c r="G96">
        <v>0.69735000000000003</v>
      </c>
      <c r="H96">
        <v>2.87</v>
      </c>
      <c r="I96">
        <v>85</v>
      </c>
      <c r="J96">
        <v>0.72899999999999998</v>
      </c>
      <c r="K96">
        <v>98</v>
      </c>
      <c r="L96">
        <v>92</v>
      </c>
    </row>
    <row r="97" spans="1:12" x14ac:dyDescent="0.2">
      <c r="A97" t="s">
        <v>301</v>
      </c>
      <c r="B97" t="s">
        <v>14</v>
      </c>
      <c r="C97" t="s">
        <v>302</v>
      </c>
      <c r="D97" t="s">
        <v>294</v>
      </c>
      <c r="E97">
        <v>1</v>
      </c>
      <c r="F97" t="s">
        <v>472</v>
      </c>
      <c r="G97">
        <v>0.74746000000000001</v>
      </c>
      <c r="H97">
        <v>2.33</v>
      </c>
      <c r="I97">
        <v>87</v>
      </c>
      <c r="J97">
        <v>0.90800000000000003</v>
      </c>
      <c r="K97">
        <v>99</v>
      </c>
      <c r="L97">
        <v>94</v>
      </c>
    </row>
    <row r="98" spans="1:12" x14ac:dyDescent="0.2">
      <c r="A98" t="s">
        <v>303</v>
      </c>
      <c r="B98" t="s">
        <v>26</v>
      </c>
      <c r="C98" t="s">
        <v>304</v>
      </c>
      <c r="D98" t="s">
        <v>305</v>
      </c>
      <c r="E98">
        <v>1</v>
      </c>
      <c r="F98" t="s">
        <v>472</v>
      </c>
      <c r="G98">
        <v>0.36121999999999999</v>
      </c>
      <c r="H98">
        <v>4.47</v>
      </c>
      <c r="I98">
        <v>61</v>
      </c>
      <c r="J98">
        <v>0.23</v>
      </c>
      <c r="K98">
        <v>92</v>
      </c>
      <c r="L98">
        <v>92</v>
      </c>
    </row>
    <row r="99" spans="1:12" x14ac:dyDescent="0.2">
      <c r="A99" t="s">
        <v>306</v>
      </c>
      <c r="B99" t="s">
        <v>14</v>
      </c>
      <c r="C99" t="s">
        <v>307</v>
      </c>
      <c r="D99" t="s">
        <v>208</v>
      </c>
      <c r="E99">
        <v>0</v>
      </c>
      <c r="F99" t="s">
        <v>473</v>
      </c>
    </row>
    <row r="100" spans="1:12" x14ac:dyDescent="0.2">
      <c r="A100" t="s">
        <v>309</v>
      </c>
      <c r="B100" t="s">
        <v>19</v>
      </c>
      <c r="C100" t="s">
        <v>310</v>
      </c>
      <c r="D100" t="s">
        <v>238</v>
      </c>
      <c r="E100">
        <v>1</v>
      </c>
      <c r="F100" t="s">
        <v>473</v>
      </c>
      <c r="G100">
        <v>0.52705999999999997</v>
      </c>
      <c r="H100">
        <v>3.54</v>
      </c>
      <c r="I100">
        <v>84</v>
      </c>
      <c r="J100">
        <v>0.69</v>
      </c>
      <c r="K100">
        <v>145</v>
      </c>
      <c r="L100">
        <v>112</v>
      </c>
    </row>
    <row r="101" spans="1:12" x14ac:dyDescent="0.2">
      <c r="A101" t="s">
        <v>311</v>
      </c>
      <c r="B101" t="s">
        <v>26</v>
      </c>
      <c r="C101" t="s">
        <v>312</v>
      </c>
      <c r="D101" t="s">
        <v>217</v>
      </c>
      <c r="E101">
        <v>1</v>
      </c>
      <c r="F101" t="s">
        <v>474</v>
      </c>
      <c r="G101">
        <v>0.35709000000000002</v>
      </c>
      <c r="H101">
        <v>4.53</v>
      </c>
      <c r="I101">
        <v>68</v>
      </c>
      <c r="J101">
        <v>0.441</v>
      </c>
      <c r="K101">
        <v>120</v>
      </c>
      <c r="L101">
        <v>115</v>
      </c>
    </row>
    <row r="102" spans="1:12" x14ac:dyDescent="0.2">
      <c r="A102" t="s">
        <v>314</v>
      </c>
      <c r="B102" t="s">
        <v>14</v>
      </c>
      <c r="C102" t="s">
        <v>315</v>
      </c>
      <c r="D102" t="s">
        <v>16</v>
      </c>
      <c r="E102">
        <v>1</v>
      </c>
      <c r="F102" t="s">
        <v>475</v>
      </c>
      <c r="G102">
        <v>0.28069</v>
      </c>
      <c r="H102">
        <v>5.43</v>
      </c>
      <c r="I102">
        <v>91</v>
      </c>
      <c r="J102">
        <v>5.5E-2</v>
      </c>
      <c r="K102">
        <v>239</v>
      </c>
      <c r="L102">
        <v>185</v>
      </c>
    </row>
    <row r="103" spans="1:12" x14ac:dyDescent="0.2">
      <c r="A103" t="s">
        <v>317</v>
      </c>
      <c r="B103" t="s">
        <v>14</v>
      </c>
      <c r="C103" t="s">
        <v>318</v>
      </c>
      <c r="D103" t="s">
        <v>319</v>
      </c>
      <c r="E103">
        <v>0</v>
      </c>
      <c r="F103" t="s">
        <v>476</v>
      </c>
    </row>
    <row r="104" spans="1:12" x14ac:dyDescent="0.2">
      <c r="A104" t="s">
        <v>321</v>
      </c>
      <c r="B104" t="s">
        <v>19</v>
      </c>
      <c r="C104" t="s">
        <v>322</v>
      </c>
      <c r="D104" t="s">
        <v>323</v>
      </c>
      <c r="E104">
        <v>1</v>
      </c>
      <c r="F104" t="s">
        <v>476</v>
      </c>
      <c r="G104">
        <v>0.58875</v>
      </c>
      <c r="H104">
        <v>3.27</v>
      </c>
      <c r="I104">
        <v>86</v>
      </c>
      <c r="J104">
        <v>0.54700000000000004</v>
      </c>
      <c r="K104">
        <v>122</v>
      </c>
      <c r="L104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0F38-C3CA-494A-ABF6-7E35F5342C53}">
  <dimension ref="A1:M104"/>
  <sheetViews>
    <sheetView workbookViewId="0">
      <selection sqref="A1:G1"/>
    </sheetView>
  </sheetViews>
  <sheetFormatPr baseColWidth="10" defaultRowHeight="16" x14ac:dyDescent="0.2"/>
  <sheetData>
    <row r="1" spans="1:13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477</v>
      </c>
      <c r="H1" t="s">
        <v>478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0.99131000000000002</v>
      </c>
      <c r="I2">
        <v>0.53</v>
      </c>
      <c r="J2">
        <v>224</v>
      </c>
      <c r="K2">
        <v>1</v>
      </c>
      <c r="L2">
        <v>224</v>
      </c>
      <c r="M2">
        <v>224</v>
      </c>
    </row>
    <row r="3" spans="1:13" x14ac:dyDescent="0.2">
      <c r="A3" t="s">
        <v>18</v>
      </c>
      <c r="B3" t="s">
        <v>19</v>
      </c>
      <c r="C3" t="s">
        <v>20</v>
      </c>
      <c r="E3">
        <v>0</v>
      </c>
      <c r="F3" t="s">
        <v>415</v>
      </c>
    </row>
    <row r="4" spans="1:13" x14ac:dyDescent="0.2">
      <c r="A4" t="s">
        <v>21</v>
      </c>
      <c r="B4" t="s">
        <v>14</v>
      </c>
      <c r="C4" t="s">
        <v>22</v>
      </c>
      <c r="D4" t="s">
        <v>23</v>
      </c>
      <c r="E4">
        <v>1</v>
      </c>
      <c r="F4" t="s">
        <v>416</v>
      </c>
      <c r="G4">
        <v>0.30002000000000001</v>
      </c>
      <c r="H4">
        <v>0.30002000000000001</v>
      </c>
      <c r="I4">
        <v>3.72</v>
      </c>
      <c r="J4">
        <v>36</v>
      </c>
      <c r="K4">
        <v>0.13900000000000001</v>
      </c>
      <c r="L4">
        <v>60</v>
      </c>
      <c r="M4">
        <v>60</v>
      </c>
    </row>
    <row r="5" spans="1:13" x14ac:dyDescent="0.2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417</v>
      </c>
      <c r="G5">
        <v>0.96011999999999997</v>
      </c>
      <c r="H5">
        <v>0.96011999999999997</v>
      </c>
      <c r="I5">
        <v>0.85</v>
      </c>
      <c r="J5">
        <v>105</v>
      </c>
      <c r="K5">
        <v>1</v>
      </c>
      <c r="L5">
        <v>105</v>
      </c>
      <c r="M5">
        <v>105</v>
      </c>
    </row>
    <row r="6" spans="1:13" x14ac:dyDescent="0.2">
      <c r="A6" t="s">
        <v>30</v>
      </c>
      <c r="B6" t="s">
        <v>14</v>
      </c>
      <c r="C6" t="s">
        <v>31</v>
      </c>
      <c r="D6" t="s">
        <v>32</v>
      </c>
      <c r="E6">
        <v>1</v>
      </c>
      <c r="F6" t="s">
        <v>418</v>
      </c>
      <c r="G6">
        <v>0.47665000000000002</v>
      </c>
      <c r="H6">
        <v>0.53198000000000001</v>
      </c>
      <c r="I6">
        <v>3.66</v>
      </c>
      <c r="J6">
        <v>81</v>
      </c>
      <c r="K6">
        <v>0.45700000000000002</v>
      </c>
      <c r="L6">
        <v>118</v>
      </c>
      <c r="M6">
        <v>102</v>
      </c>
    </row>
    <row r="7" spans="1:13" x14ac:dyDescent="0.2">
      <c r="A7" t="s">
        <v>34</v>
      </c>
      <c r="B7" t="s">
        <v>35</v>
      </c>
      <c r="C7" t="s">
        <v>31</v>
      </c>
      <c r="D7" t="s">
        <v>32</v>
      </c>
      <c r="E7">
        <v>1</v>
      </c>
      <c r="F7" t="s">
        <v>418</v>
      </c>
      <c r="G7">
        <v>0.47804999999999997</v>
      </c>
      <c r="H7">
        <v>0.53400000000000003</v>
      </c>
      <c r="I7">
        <v>3.65</v>
      </c>
      <c r="J7">
        <v>81</v>
      </c>
      <c r="K7">
        <v>0.45700000000000002</v>
      </c>
      <c r="L7">
        <v>118</v>
      </c>
      <c r="M7">
        <v>102</v>
      </c>
    </row>
    <row r="8" spans="1:13" x14ac:dyDescent="0.2">
      <c r="A8" t="s">
        <v>36</v>
      </c>
      <c r="B8" t="s">
        <v>14</v>
      </c>
      <c r="C8" t="s">
        <v>37</v>
      </c>
      <c r="D8" t="s">
        <v>38</v>
      </c>
      <c r="E8">
        <v>1</v>
      </c>
      <c r="F8" t="s">
        <v>419</v>
      </c>
      <c r="G8">
        <v>0.45683000000000001</v>
      </c>
      <c r="H8">
        <v>0.45683000000000001</v>
      </c>
      <c r="I8">
        <v>3.88</v>
      </c>
      <c r="J8">
        <v>63</v>
      </c>
      <c r="K8">
        <v>0.69799999999999995</v>
      </c>
      <c r="L8">
        <v>80</v>
      </c>
      <c r="M8">
        <v>80</v>
      </c>
    </row>
    <row r="9" spans="1:13" x14ac:dyDescent="0.2">
      <c r="A9" t="s">
        <v>40</v>
      </c>
      <c r="B9" t="s">
        <v>14</v>
      </c>
      <c r="C9" t="s">
        <v>41</v>
      </c>
      <c r="D9" t="s">
        <v>32</v>
      </c>
      <c r="E9">
        <v>1</v>
      </c>
      <c r="F9" t="s">
        <v>420</v>
      </c>
      <c r="G9">
        <v>0.46666999999999997</v>
      </c>
      <c r="H9">
        <v>0.46666999999999997</v>
      </c>
      <c r="I9">
        <v>3.63</v>
      </c>
      <c r="J9">
        <v>60</v>
      </c>
      <c r="K9">
        <v>0.48299999999999998</v>
      </c>
      <c r="L9">
        <v>64</v>
      </c>
      <c r="M9">
        <v>64</v>
      </c>
    </row>
    <row r="10" spans="1:13" x14ac:dyDescent="0.2">
      <c r="A10" t="s">
        <v>43</v>
      </c>
      <c r="B10" t="s">
        <v>14</v>
      </c>
      <c r="C10" t="s">
        <v>44</v>
      </c>
      <c r="D10" t="s">
        <v>32</v>
      </c>
      <c r="E10">
        <v>1</v>
      </c>
      <c r="F10" t="s">
        <v>420</v>
      </c>
      <c r="G10">
        <v>0.48946000000000001</v>
      </c>
      <c r="H10">
        <v>0.48946000000000001</v>
      </c>
      <c r="I10">
        <v>2.6</v>
      </c>
      <c r="J10">
        <v>45</v>
      </c>
      <c r="K10">
        <v>0.88900000000000001</v>
      </c>
      <c r="L10">
        <v>65</v>
      </c>
      <c r="M10">
        <v>65</v>
      </c>
    </row>
    <row r="11" spans="1:13" x14ac:dyDescent="0.2">
      <c r="A11" t="s">
        <v>45</v>
      </c>
      <c r="B11" t="s">
        <v>14</v>
      </c>
      <c r="C11" t="s">
        <v>46</v>
      </c>
      <c r="D11" t="s">
        <v>47</v>
      </c>
      <c r="E11">
        <v>1</v>
      </c>
      <c r="F11" t="s">
        <v>421</v>
      </c>
      <c r="G11">
        <v>0.24790999999999999</v>
      </c>
      <c r="H11">
        <v>0.28294999999999998</v>
      </c>
      <c r="I11">
        <v>4.07</v>
      </c>
      <c r="J11">
        <v>43</v>
      </c>
      <c r="K11">
        <v>0.30199999999999999</v>
      </c>
      <c r="L11">
        <v>98</v>
      </c>
      <c r="M11">
        <v>79</v>
      </c>
    </row>
    <row r="12" spans="1:13" x14ac:dyDescent="0.2">
      <c r="A12" t="s">
        <v>49</v>
      </c>
      <c r="B12" t="s">
        <v>14</v>
      </c>
      <c r="C12" t="s">
        <v>50</v>
      </c>
      <c r="D12" t="s">
        <v>38</v>
      </c>
      <c r="E12">
        <v>1</v>
      </c>
      <c r="F12" t="s">
        <v>421</v>
      </c>
      <c r="G12">
        <v>0.47844999999999999</v>
      </c>
      <c r="H12">
        <v>0.55854999999999999</v>
      </c>
      <c r="I12">
        <v>2.74</v>
      </c>
      <c r="J12">
        <v>62</v>
      </c>
      <c r="K12">
        <v>0.71</v>
      </c>
      <c r="L12">
        <v>97</v>
      </c>
      <c r="M12">
        <v>79</v>
      </c>
    </row>
    <row r="13" spans="1:13" x14ac:dyDescent="0.2">
      <c r="A13" t="s">
        <v>51</v>
      </c>
      <c r="B13" t="s">
        <v>14</v>
      </c>
      <c r="C13" t="s">
        <v>50</v>
      </c>
      <c r="D13" t="s">
        <v>38</v>
      </c>
      <c r="E13">
        <v>1</v>
      </c>
      <c r="F13" t="s">
        <v>422</v>
      </c>
      <c r="G13">
        <v>0.77305999999999997</v>
      </c>
      <c r="H13">
        <v>0.77305999999999997</v>
      </c>
      <c r="I13">
        <v>1.78</v>
      </c>
      <c r="J13">
        <v>65</v>
      </c>
      <c r="K13">
        <v>0.93799999999999994</v>
      </c>
      <c r="L13">
        <v>66</v>
      </c>
      <c r="M13">
        <v>66</v>
      </c>
    </row>
    <row r="14" spans="1:13" x14ac:dyDescent="0.2">
      <c r="A14" t="s">
        <v>53</v>
      </c>
      <c r="B14" t="s">
        <v>14</v>
      </c>
      <c r="C14" t="s">
        <v>54</v>
      </c>
      <c r="D14" t="s">
        <v>55</v>
      </c>
      <c r="E14">
        <v>1</v>
      </c>
      <c r="F14" t="s">
        <v>423</v>
      </c>
      <c r="G14">
        <v>0.57696000000000003</v>
      </c>
      <c r="H14">
        <v>0.57696000000000003</v>
      </c>
      <c r="I14">
        <v>3.07</v>
      </c>
      <c r="J14">
        <v>81</v>
      </c>
      <c r="K14">
        <v>0.67900000000000005</v>
      </c>
      <c r="L14">
        <v>95</v>
      </c>
      <c r="M14">
        <v>95</v>
      </c>
    </row>
    <row r="15" spans="1:13" x14ac:dyDescent="0.2">
      <c r="A15" t="s">
        <v>57</v>
      </c>
      <c r="B15" t="s">
        <v>14</v>
      </c>
      <c r="C15" t="s">
        <v>58</v>
      </c>
      <c r="D15" t="s">
        <v>59</v>
      </c>
      <c r="E15">
        <v>1</v>
      </c>
      <c r="F15" t="s">
        <v>424</v>
      </c>
      <c r="G15">
        <v>0.28986000000000001</v>
      </c>
      <c r="H15">
        <v>0.30972</v>
      </c>
      <c r="I15">
        <v>4.4000000000000004</v>
      </c>
      <c r="J15">
        <v>62</v>
      </c>
      <c r="K15">
        <v>0.30599999999999999</v>
      </c>
      <c r="L15">
        <v>127</v>
      </c>
      <c r="M15">
        <v>115</v>
      </c>
    </row>
    <row r="16" spans="1:13" x14ac:dyDescent="0.2">
      <c r="A16" t="s">
        <v>61</v>
      </c>
      <c r="B16" t="s">
        <v>14</v>
      </c>
      <c r="C16" t="s">
        <v>62</v>
      </c>
      <c r="D16" t="s">
        <v>59</v>
      </c>
      <c r="E16">
        <v>1</v>
      </c>
      <c r="F16" t="s">
        <v>425</v>
      </c>
      <c r="G16">
        <v>0.22026000000000001</v>
      </c>
      <c r="H16">
        <v>0.26679000000000003</v>
      </c>
      <c r="I16">
        <v>4.7</v>
      </c>
      <c r="J16">
        <v>54</v>
      </c>
      <c r="K16">
        <v>3.6999999999999998E-2</v>
      </c>
      <c r="L16">
        <v>150</v>
      </c>
      <c r="M16">
        <v>113</v>
      </c>
    </row>
    <row r="17" spans="1:13" x14ac:dyDescent="0.2">
      <c r="A17" t="s">
        <v>64</v>
      </c>
      <c r="B17" t="s">
        <v>26</v>
      </c>
      <c r="C17" t="s">
        <v>65</v>
      </c>
      <c r="D17" t="s">
        <v>16</v>
      </c>
      <c r="E17">
        <v>1</v>
      </c>
      <c r="F17" t="s">
        <v>426</v>
      </c>
      <c r="G17">
        <v>0.83818000000000004</v>
      </c>
      <c r="H17">
        <v>0.92225000000000001</v>
      </c>
      <c r="I17">
        <v>1.89</v>
      </c>
      <c r="J17">
        <v>244</v>
      </c>
      <c r="K17">
        <v>0.92600000000000005</v>
      </c>
      <c r="L17">
        <v>271</v>
      </c>
      <c r="M17">
        <v>245</v>
      </c>
    </row>
    <row r="18" spans="1:13" x14ac:dyDescent="0.2">
      <c r="A18" t="s">
        <v>67</v>
      </c>
      <c r="B18" t="s">
        <v>68</v>
      </c>
      <c r="C18" t="s">
        <v>69</v>
      </c>
      <c r="D18" t="s">
        <v>16</v>
      </c>
      <c r="E18">
        <v>0</v>
      </c>
      <c r="F18" t="s">
        <v>426</v>
      </c>
    </row>
    <row r="19" spans="1:13" x14ac:dyDescent="0.2">
      <c r="A19" t="s">
        <v>70</v>
      </c>
      <c r="B19" t="s">
        <v>14</v>
      </c>
      <c r="C19" t="s">
        <v>71</v>
      </c>
      <c r="D19" t="s">
        <v>72</v>
      </c>
      <c r="E19">
        <v>1</v>
      </c>
      <c r="F19" t="s">
        <v>427</v>
      </c>
      <c r="G19">
        <v>0.66752999999999996</v>
      </c>
      <c r="H19">
        <v>0.78974</v>
      </c>
      <c r="I19">
        <v>3.29</v>
      </c>
      <c r="J19">
        <v>183</v>
      </c>
      <c r="K19">
        <v>0.85799999999999998</v>
      </c>
      <c r="L19">
        <v>228</v>
      </c>
      <c r="M19">
        <v>189</v>
      </c>
    </row>
    <row r="20" spans="1:13" x14ac:dyDescent="0.2">
      <c r="A20" t="s">
        <v>74</v>
      </c>
      <c r="B20" t="s">
        <v>14</v>
      </c>
      <c r="C20" t="s">
        <v>71</v>
      </c>
      <c r="D20" t="s">
        <v>72</v>
      </c>
      <c r="E20">
        <v>1</v>
      </c>
      <c r="F20" t="s">
        <v>428</v>
      </c>
      <c r="G20">
        <v>0.66747999999999996</v>
      </c>
      <c r="H20">
        <v>0.78885000000000005</v>
      </c>
      <c r="I20">
        <v>3.31</v>
      </c>
      <c r="J20">
        <v>184</v>
      </c>
      <c r="K20">
        <v>0.83699999999999997</v>
      </c>
      <c r="L20">
        <v>228</v>
      </c>
      <c r="M20">
        <v>189</v>
      </c>
    </row>
    <row r="21" spans="1:13" x14ac:dyDescent="0.2">
      <c r="A21" t="s">
        <v>76</v>
      </c>
      <c r="B21" t="s">
        <v>77</v>
      </c>
      <c r="C21" t="s">
        <v>78</v>
      </c>
      <c r="D21" t="s">
        <v>79</v>
      </c>
      <c r="E21">
        <v>1</v>
      </c>
      <c r="F21" t="s">
        <v>429</v>
      </c>
      <c r="G21">
        <v>0.41221000000000002</v>
      </c>
      <c r="H21">
        <v>0.43071999999999999</v>
      </c>
      <c r="I21">
        <v>4.3099999999999996</v>
      </c>
      <c r="J21">
        <v>130</v>
      </c>
      <c r="K21">
        <v>0.623</v>
      </c>
      <c r="L21">
        <v>238</v>
      </c>
      <c r="M21">
        <v>226</v>
      </c>
    </row>
    <row r="22" spans="1:13" x14ac:dyDescent="0.2">
      <c r="A22" t="s">
        <v>81</v>
      </c>
      <c r="B22" t="s">
        <v>82</v>
      </c>
      <c r="C22" t="s">
        <v>83</v>
      </c>
      <c r="D22" t="s">
        <v>79</v>
      </c>
      <c r="E22">
        <v>1</v>
      </c>
      <c r="F22" t="s">
        <v>429</v>
      </c>
      <c r="G22">
        <v>0.42662</v>
      </c>
      <c r="H22">
        <v>0.46160000000000001</v>
      </c>
      <c r="I22">
        <v>4.62</v>
      </c>
      <c r="J22">
        <v>141</v>
      </c>
      <c r="K22">
        <v>0.51100000000000001</v>
      </c>
      <c r="L22">
        <v>244</v>
      </c>
      <c r="M22">
        <v>222</v>
      </c>
    </row>
    <row r="23" spans="1:13" x14ac:dyDescent="0.2">
      <c r="A23" t="s">
        <v>84</v>
      </c>
      <c r="B23" t="s">
        <v>77</v>
      </c>
      <c r="C23" t="s">
        <v>85</v>
      </c>
      <c r="D23" t="s">
        <v>86</v>
      </c>
      <c r="E23">
        <v>1</v>
      </c>
      <c r="F23" t="s">
        <v>430</v>
      </c>
      <c r="G23">
        <v>0.67706999999999995</v>
      </c>
      <c r="H23">
        <v>0.68149999999999999</v>
      </c>
      <c r="I23">
        <v>3.2</v>
      </c>
      <c r="J23">
        <v>113</v>
      </c>
      <c r="K23">
        <v>0.77</v>
      </c>
      <c r="L23">
        <v>131</v>
      </c>
      <c r="M23">
        <v>130</v>
      </c>
    </row>
    <row r="24" spans="1:13" x14ac:dyDescent="0.2">
      <c r="A24" t="s">
        <v>88</v>
      </c>
      <c r="B24" t="s">
        <v>77</v>
      </c>
      <c r="C24" t="s">
        <v>85</v>
      </c>
      <c r="D24" t="s">
        <v>86</v>
      </c>
      <c r="E24">
        <v>1</v>
      </c>
      <c r="F24" t="s">
        <v>430</v>
      </c>
      <c r="G24">
        <v>0.67791000000000001</v>
      </c>
      <c r="H24">
        <v>0.68235000000000001</v>
      </c>
      <c r="I24">
        <v>3.2</v>
      </c>
      <c r="J24">
        <v>113</v>
      </c>
      <c r="K24">
        <v>0.77</v>
      </c>
      <c r="L24">
        <v>131</v>
      </c>
      <c r="M24">
        <v>130</v>
      </c>
    </row>
    <row r="25" spans="1:13" x14ac:dyDescent="0.2">
      <c r="A25" t="s">
        <v>89</v>
      </c>
      <c r="B25" t="s">
        <v>14</v>
      </c>
      <c r="C25" t="s">
        <v>90</v>
      </c>
      <c r="D25" t="s">
        <v>91</v>
      </c>
      <c r="E25">
        <v>1</v>
      </c>
      <c r="F25" t="s">
        <v>427</v>
      </c>
      <c r="G25">
        <v>0.79468000000000005</v>
      </c>
      <c r="H25">
        <v>0.82255</v>
      </c>
      <c r="I25">
        <v>2.1800000000000002</v>
      </c>
      <c r="J25">
        <v>74</v>
      </c>
      <c r="K25">
        <v>1</v>
      </c>
      <c r="L25">
        <v>80</v>
      </c>
      <c r="M25">
        <v>77</v>
      </c>
    </row>
    <row r="26" spans="1:13" x14ac:dyDescent="0.2">
      <c r="A26" t="s">
        <v>92</v>
      </c>
      <c r="B26" t="s">
        <v>19</v>
      </c>
      <c r="C26" t="s">
        <v>93</v>
      </c>
      <c r="D26" t="s">
        <v>91</v>
      </c>
      <c r="E26">
        <v>1</v>
      </c>
      <c r="F26" t="s">
        <v>427</v>
      </c>
      <c r="G26">
        <v>0.86446999999999996</v>
      </c>
      <c r="H26">
        <v>0.94089999999999996</v>
      </c>
      <c r="I26">
        <v>0.83</v>
      </c>
      <c r="J26">
        <v>74</v>
      </c>
      <c r="K26">
        <v>1</v>
      </c>
      <c r="L26">
        <v>81</v>
      </c>
      <c r="M26">
        <v>74</v>
      </c>
    </row>
    <row r="27" spans="1:13" x14ac:dyDescent="0.2">
      <c r="A27" t="s">
        <v>94</v>
      </c>
      <c r="B27" t="s">
        <v>26</v>
      </c>
      <c r="C27" t="s">
        <v>95</v>
      </c>
      <c r="D27" t="s">
        <v>96</v>
      </c>
      <c r="E27">
        <v>1</v>
      </c>
      <c r="F27" t="s">
        <v>431</v>
      </c>
      <c r="G27">
        <v>0.59402999999999995</v>
      </c>
      <c r="H27">
        <v>0.95198000000000005</v>
      </c>
      <c r="I27">
        <v>0.73</v>
      </c>
      <c r="J27">
        <v>74</v>
      </c>
      <c r="K27">
        <v>0.97299999999999998</v>
      </c>
      <c r="L27">
        <v>121</v>
      </c>
      <c r="M27">
        <v>74</v>
      </c>
    </row>
    <row r="28" spans="1:13" x14ac:dyDescent="0.2">
      <c r="A28" t="s">
        <v>98</v>
      </c>
      <c r="B28" t="s">
        <v>26</v>
      </c>
      <c r="C28" t="s">
        <v>99</v>
      </c>
      <c r="D28" t="s">
        <v>100</v>
      </c>
      <c r="E28">
        <v>0</v>
      </c>
      <c r="F28" t="s">
        <v>432</v>
      </c>
    </row>
    <row r="29" spans="1:13" x14ac:dyDescent="0.2">
      <c r="A29" t="s">
        <v>102</v>
      </c>
      <c r="B29" t="s">
        <v>68</v>
      </c>
      <c r="C29" t="s">
        <v>103</v>
      </c>
      <c r="D29" t="s">
        <v>104</v>
      </c>
      <c r="E29">
        <v>1</v>
      </c>
      <c r="F29" t="s">
        <v>432</v>
      </c>
      <c r="G29">
        <v>0.73897999999999997</v>
      </c>
      <c r="H29">
        <v>0.81918000000000002</v>
      </c>
      <c r="I29">
        <v>1.89</v>
      </c>
      <c r="J29">
        <v>78</v>
      </c>
      <c r="K29">
        <v>0.84599999999999997</v>
      </c>
      <c r="L29">
        <v>93</v>
      </c>
      <c r="M29">
        <v>83</v>
      </c>
    </row>
    <row r="30" spans="1:13" x14ac:dyDescent="0.2">
      <c r="A30" t="s">
        <v>105</v>
      </c>
      <c r="B30" t="s">
        <v>26</v>
      </c>
      <c r="C30" t="s">
        <v>106</v>
      </c>
      <c r="D30" t="s">
        <v>38</v>
      </c>
      <c r="E30">
        <v>1</v>
      </c>
      <c r="F30" t="s">
        <v>433</v>
      </c>
      <c r="G30">
        <v>0.94089</v>
      </c>
      <c r="H30">
        <v>0.96857000000000004</v>
      </c>
      <c r="I30">
        <v>1.07</v>
      </c>
      <c r="J30">
        <v>133</v>
      </c>
      <c r="K30">
        <v>1</v>
      </c>
      <c r="L30">
        <v>137</v>
      </c>
      <c r="M30">
        <v>133</v>
      </c>
    </row>
    <row r="31" spans="1:13" x14ac:dyDescent="0.2">
      <c r="A31" t="s">
        <v>108</v>
      </c>
      <c r="B31" t="s">
        <v>26</v>
      </c>
      <c r="C31" t="s">
        <v>109</v>
      </c>
      <c r="D31" t="s">
        <v>104</v>
      </c>
      <c r="E31">
        <v>1</v>
      </c>
      <c r="F31" t="s">
        <v>434</v>
      </c>
      <c r="G31">
        <v>0.91459000000000001</v>
      </c>
      <c r="H31">
        <v>0.97292000000000001</v>
      </c>
      <c r="I31">
        <v>1.47</v>
      </c>
      <c r="J31">
        <v>568</v>
      </c>
      <c r="K31">
        <v>1</v>
      </c>
      <c r="L31">
        <v>605</v>
      </c>
      <c r="M31">
        <v>568</v>
      </c>
    </row>
    <row r="32" spans="1:13" x14ac:dyDescent="0.2">
      <c r="A32" t="s">
        <v>111</v>
      </c>
      <c r="B32" t="s">
        <v>14</v>
      </c>
      <c r="C32" t="s">
        <v>112</v>
      </c>
      <c r="D32" t="s">
        <v>38</v>
      </c>
      <c r="E32">
        <v>1</v>
      </c>
      <c r="F32" t="s">
        <v>435</v>
      </c>
      <c r="G32">
        <v>0.5675</v>
      </c>
      <c r="H32">
        <v>0.67896999999999996</v>
      </c>
      <c r="I32">
        <v>1.82</v>
      </c>
      <c r="J32">
        <v>64</v>
      </c>
      <c r="K32">
        <v>1</v>
      </c>
      <c r="L32">
        <v>97</v>
      </c>
      <c r="M32">
        <v>79</v>
      </c>
    </row>
    <row r="33" spans="1:13" x14ac:dyDescent="0.2">
      <c r="A33" t="s">
        <v>114</v>
      </c>
      <c r="B33" t="s">
        <v>14</v>
      </c>
      <c r="C33" t="s">
        <v>115</v>
      </c>
      <c r="D33" t="s">
        <v>116</v>
      </c>
      <c r="E33">
        <v>1</v>
      </c>
      <c r="F33" t="s">
        <v>436</v>
      </c>
      <c r="G33">
        <v>0.74897999999999998</v>
      </c>
      <c r="H33">
        <v>0.99043999999999999</v>
      </c>
      <c r="I33">
        <v>0.34</v>
      </c>
      <c r="J33">
        <v>89</v>
      </c>
      <c r="K33">
        <v>0.98899999999999999</v>
      </c>
      <c r="L33">
        <v>118</v>
      </c>
      <c r="M33">
        <v>89</v>
      </c>
    </row>
    <row r="34" spans="1:13" x14ac:dyDescent="0.2">
      <c r="A34" t="s">
        <v>118</v>
      </c>
      <c r="B34" t="s">
        <v>14</v>
      </c>
      <c r="C34" t="s">
        <v>119</v>
      </c>
      <c r="D34" t="s">
        <v>16</v>
      </c>
      <c r="E34">
        <v>1</v>
      </c>
      <c r="F34" t="s">
        <v>437</v>
      </c>
      <c r="G34">
        <v>0.84596000000000005</v>
      </c>
      <c r="H34">
        <v>0.87119000000000002</v>
      </c>
      <c r="I34">
        <v>2.02</v>
      </c>
      <c r="J34">
        <v>121</v>
      </c>
      <c r="K34">
        <v>1</v>
      </c>
      <c r="L34">
        <v>128</v>
      </c>
      <c r="M34">
        <v>124</v>
      </c>
    </row>
    <row r="35" spans="1:13" x14ac:dyDescent="0.2">
      <c r="A35" t="s">
        <v>121</v>
      </c>
      <c r="B35" t="s">
        <v>26</v>
      </c>
      <c r="C35" t="s">
        <v>122</v>
      </c>
      <c r="D35" t="s">
        <v>59</v>
      </c>
      <c r="E35">
        <v>1</v>
      </c>
      <c r="F35" t="s">
        <v>438</v>
      </c>
      <c r="G35">
        <v>0.20608000000000001</v>
      </c>
      <c r="H35">
        <v>0.22303999999999999</v>
      </c>
      <c r="I35">
        <v>4.7699999999999996</v>
      </c>
      <c r="J35">
        <v>40</v>
      </c>
      <c r="K35">
        <v>2.5000000000000001E-2</v>
      </c>
      <c r="L35">
        <v>91</v>
      </c>
      <c r="M35">
        <v>77</v>
      </c>
    </row>
    <row r="36" spans="1:13" x14ac:dyDescent="0.2">
      <c r="A36" t="s">
        <v>124</v>
      </c>
      <c r="B36" t="s">
        <v>14</v>
      </c>
      <c r="C36" t="s">
        <v>125</v>
      </c>
      <c r="D36" t="s">
        <v>126</v>
      </c>
      <c r="E36">
        <v>1</v>
      </c>
      <c r="F36" t="s">
        <v>439</v>
      </c>
      <c r="G36">
        <v>0.73416999999999999</v>
      </c>
      <c r="H36">
        <v>0.92569999999999997</v>
      </c>
      <c r="I36">
        <v>1.42</v>
      </c>
      <c r="J36">
        <v>119</v>
      </c>
      <c r="K36">
        <v>1</v>
      </c>
      <c r="L36">
        <v>155</v>
      </c>
      <c r="M36">
        <v>122</v>
      </c>
    </row>
    <row r="37" spans="1:13" x14ac:dyDescent="0.2">
      <c r="A37" t="s">
        <v>128</v>
      </c>
      <c r="B37" t="s">
        <v>77</v>
      </c>
      <c r="C37" t="s">
        <v>129</v>
      </c>
      <c r="D37" t="s">
        <v>38</v>
      </c>
      <c r="E37">
        <v>1</v>
      </c>
      <c r="F37" t="s">
        <v>440</v>
      </c>
      <c r="G37">
        <v>0.80327000000000004</v>
      </c>
      <c r="H37">
        <v>0.91195000000000004</v>
      </c>
      <c r="I37">
        <v>0.85</v>
      </c>
      <c r="J37">
        <v>54</v>
      </c>
      <c r="K37">
        <v>1</v>
      </c>
      <c r="L37">
        <v>64</v>
      </c>
      <c r="M37">
        <v>56</v>
      </c>
    </row>
    <row r="38" spans="1:13" x14ac:dyDescent="0.2">
      <c r="A38" t="s">
        <v>131</v>
      </c>
      <c r="B38" t="s">
        <v>14</v>
      </c>
      <c r="C38" t="s">
        <v>132</v>
      </c>
      <c r="D38" t="s">
        <v>133</v>
      </c>
      <c r="E38">
        <v>0</v>
      </c>
      <c r="F38" t="s">
        <v>441</v>
      </c>
    </row>
    <row r="39" spans="1:13" x14ac:dyDescent="0.2">
      <c r="A39" t="s">
        <v>135</v>
      </c>
      <c r="B39" t="s">
        <v>136</v>
      </c>
      <c r="C39" t="s">
        <v>137</v>
      </c>
      <c r="D39" t="s">
        <v>47</v>
      </c>
      <c r="E39">
        <v>1</v>
      </c>
      <c r="F39" t="s">
        <v>441</v>
      </c>
    </row>
    <row r="40" spans="1:13" x14ac:dyDescent="0.2">
      <c r="A40" t="s">
        <v>138</v>
      </c>
      <c r="B40" t="s">
        <v>77</v>
      </c>
      <c r="C40" t="s">
        <v>139</v>
      </c>
      <c r="D40" t="s">
        <v>140</v>
      </c>
      <c r="E40">
        <v>1</v>
      </c>
      <c r="F40" t="s">
        <v>442</v>
      </c>
      <c r="G40">
        <v>0.96206999999999998</v>
      </c>
      <c r="H40">
        <v>0.96206999999999998</v>
      </c>
      <c r="I40">
        <v>0.91</v>
      </c>
      <c r="J40">
        <v>79</v>
      </c>
      <c r="K40">
        <v>1</v>
      </c>
      <c r="L40">
        <v>79</v>
      </c>
      <c r="M40">
        <v>79</v>
      </c>
    </row>
    <row r="41" spans="1:13" x14ac:dyDescent="0.2">
      <c r="A41" t="s">
        <v>142</v>
      </c>
      <c r="B41" t="s">
        <v>14</v>
      </c>
      <c r="C41" t="s">
        <v>143</v>
      </c>
      <c r="D41" t="s">
        <v>144</v>
      </c>
      <c r="E41">
        <v>1</v>
      </c>
      <c r="F41" t="s">
        <v>443</v>
      </c>
      <c r="G41">
        <v>0.88753000000000004</v>
      </c>
      <c r="H41">
        <v>0.89615999999999996</v>
      </c>
      <c r="I41">
        <v>1.63</v>
      </c>
      <c r="J41">
        <v>95</v>
      </c>
      <c r="K41">
        <v>0.94699999999999995</v>
      </c>
      <c r="L41">
        <v>98</v>
      </c>
      <c r="M41">
        <v>97</v>
      </c>
    </row>
    <row r="42" spans="1:13" x14ac:dyDescent="0.2">
      <c r="A42" t="s">
        <v>146</v>
      </c>
      <c r="B42" t="s">
        <v>147</v>
      </c>
      <c r="C42" t="s">
        <v>148</v>
      </c>
      <c r="D42" t="s">
        <v>133</v>
      </c>
      <c r="E42">
        <v>0</v>
      </c>
      <c r="F42" t="s">
        <v>444</v>
      </c>
    </row>
    <row r="43" spans="1:13" x14ac:dyDescent="0.2">
      <c r="A43" t="s">
        <v>150</v>
      </c>
      <c r="B43" t="s">
        <v>151</v>
      </c>
      <c r="C43" t="s">
        <v>152</v>
      </c>
      <c r="D43" t="s">
        <v>38</v>
      </c>
      <c r="E43">
        <v>1</v>
      </c>
      <c r="F43" t="s">
        <v>444</v>
      </c>
      <c r="G43">
        <v>0.74760000000000004</v>
      </c>
      <c r="H43">
        <v>0.82077999999999995</v>
      </c>
      <c r="I43">
        <v>1.84</v>
      </c>
      <c r="J43">
        <v>78</v>
      </c>
      <c r="K43">
        <v>0.84599999999999997</v>
      </c>
      <c r="L43">
        <v>93</v>
      </c>
      <c r="M43">
        <v>84</v>
      </c>
    </row>
    <row r="44" spans="1:13" x14ac:dyDescent="0.2">
      <c r="A44" t="s">
        <v>153</v>
      </c>
      <c r="B44" t="s">
        <v>154</v>
      </c>
      <c r="C44" t="s">
        <v>152</v>
      </c>
      <c r="D44" t="s">
        <v>38</v>
      </c>
      <c r="E44">
        <v>1</v>
      </c>
      <c r="F44" t="s">
        <v>444</v>
      </c>
      <c r="G44">
        <v>0.31384000000000001</v>
      </c>
      <c r="H44">
        <v>0.34505999999999998</v>
      </c>
      <c r="I44">
        <v>3.63</v>
      </c>
      <c r="J44">
        <v>46</v>
      </c>
      <c r="K44">
        <v>4.2999999999999997E-2</v>
      </c>
      <c r="L44">
        <v>93</v>
      </c>
      <c r="M44">
        <v>81</v>
      </c>
    </row>
    <row r="45" spans="1:13" x14ac:dyDescent="0.2">
      <c r="A45" t="s">
        <v>155</v>
      </c>
      <c r="B45" t="s">
        <v>156</v>
      </c>
      <c r="C45" t="s">
        <v>148</v>
      </c>
      <c r="D45" t="s">
        <v>133</v>
      </c>
      <c r="E45">
        <v>0</v>
      </c>
      <c r="F45" t="s">
        <v>444</v>
      </c>
    </row>
    <row r="46" spans="1:13" x14ac:dyDescent="0.2">
      <c r="A46" t="s">
        <v>157</v>
      </c>
      <c r="B46" t="s">
        <v>14</v>
      </c>
      <c r="C46" t="s">
        <v>148</v>
      </c>
      <c r="D46" t="s">
        <v>133</v>
      </c>
      <c r="E46">
        <v>0</v>
      </c>
      <c r="F46" t="s">
        <v>444</v>
      </c>
    </row>
    <row r="47" spans="1:13" x14ac:dyDescent="0.2">
      <c r="A47" t="s">
        <v>158</v>
      </c>
      <c r="B47" t="s">
        <v>19</v>
      </c>
      <c r="C47" t="s">
        <v>152</v>
      </c>
      <c r="D47" t="s">
        <v>38</v>
      </c>
      <c r="E47">
        <v>1</v>
      </c>
      <c r="F47" t="s">
        <v>444</v>
      </c>
      <c r="G47">
        <v>0.75183</v>
      </c>
      <c r="H47">
        <v>0.85394999999999999</v>
      </c>
      <c r="I47">
        <v>1.52</v>
      </c>
      <c r="J47">
        <v>77</v>
      </c>
      <c r="K47">
        <v>0.85699999999999998</v>
      </c>
      <c r="L47">
        <v>93</v>
      </c>
      <c r="M47">
        <v>81</v>
      </c>
    </row>
    <row r="48" spans="1:13" x14ac:dyDescent="0.2">
      <c r="A48" t="s">
        <v>159</v>
      </c>
      <c r="B48" t="s">
        <v>26</v>
      </c>
      <c r="C48" t="s">
        <v>160</v>
      </c>
      <c r="D48" t="s">
        <v>133</v>
      </c>
      <c r="E48">
        <v>0</v>
      </c>
      <c r="F48" t="s">
        <v>445</v>
      </c>
    </row>
    <row r="49" spans="1:13" x14ac:dyDescent="0.2">
      <c r="A49" t="s">
        <v>162</v>
      </c>
      <c r="B49" t="s">
        <v>68</v>
      </c>
      <c r="C49" t="s">
        <v>152</v>
      </c>
      <c r="D49" t="s">
        <v>38</v>
      </c>
      <c r="E49">
        <v>1</v>
      </c>
      <c r="F49" t="s">
        <v>445</v>
      </c>
      <c r="G49">
        <v>0.73706000000000005</v>
      </c>
      <c r="H49">
        <v>0.81766000000000005</v>
      </c>
      <c r="I49">
        <v>1.7</v>
      </c>
      <c r="J49">
        <v>77</v>
      </c>
      <c r="K49">
        <v>0.85699999999999998</v>
      </c>
      <c r="L49">
        <v>93</v>
      </c>
      <c r="M49">
        <v>83</v>
      </c>
    </row>
    <row r="50" spans="1:13" x14ac:dyDescent="0.2">
      <c r="A50" t="s">
        <v>163</v>
      </c>
      <c r="B50" t="s">
        <v>164</v>
      </c>
      <c r="C50" t="s">
        <v>152</v>
      </c>
      <c r="D50" t="s">
        <v>38</v>
      </c>
      <c r="E50">
        <v>1</v>
      </c>
      <c r="F50" t="s">
        <v>445</v>
      </c>
      <c r="G50">
        <v>0.28982000000000002</v>
      </c>
      <c r="H50">
        <v>0.35709000000000002</v>
      </c>
      <c r="I50">
        <v>2.87</v>
      </c>
      <c r="J50">
        <v>38</v>
      </c>
      <c r="K50">
        <v>7.9000000000000001E-2</v>
      </c>
      <c r="L50">
        <v>93</v>
      </c>
      <c r="M50">
        <v>70</v>
      </c>
    </row>
    <row r="51" spans="1:13" x14ac:dyDescent="0.2">
      <c r="A51" t="s">
        <v>165</v>
      </c>
      <c r="B51" t="s">
        <v>166</v>
      </c>
      <c r="C51" t="s">
        <v>160</v>
      </c>
      <c r="D51" t="s">
        <v>167</v>
      </c>
      <c r="E51">
        <v>0</v>
      </c>
      <c r="F51" t="s">
        <v>445</v>
      </c>
    </row>
    <row r="52" spans="1:13" x14ac:dyDescent="0.2">
      <c r="A52" t="s">
        <v>168</v>
      </c>
      <c r="B52" t="s">
        <v>14</v>
      </c>
      <c r="C52" t="s">
        <v>169</v>
      </c>
      <c r="D52" t="s">
        <v>170</v>
      </c>
      <c r="E52">
        <v>1</v>
      </c>
      <c r="F52" t="s">
        <v>446</v>
      </c>
      <c r="G52">
        <v>0.3659</v>
      </c>
      <c r="H52">
        <v>0.3659</v>
      </c>
      <c r="I52">
        <v>2.58</v>
      </c>
      <c r="J52">
        <v>34</v>
      </c>
      <c r="K52">
        <v>0.91200000000000003</v>
      </c>
      <c r="L52">
        <v>75</v>
      </c>
      <c r="M52">
        <v>75</v>
      </c>
    </row>
    <row r="53" spans="1:13" x14ac:dyDescent="0.2">
      <c r="A53" t="s">
        <v>172</v>
      </c>
      <c r="B53" t="s">
        <v>77</v>
      </c>
      <c r="C53" t="s">
        <v>173</v>
      </c>
      <c r="D53" t="s">
        <v>174</v>
      </c>
      <c r="E53">
        <v>1</v>
      </c>
      <c r="F53" t="s">
        <v>447</v>
      </c>
      <c r="G53">
        <v>0.73097000000000001</v>
      </c>
      <c r="H53">
        <v>0.73097000000000001</v>
      </c>
      <c r="I53">
        <v>2.0699999999999998</v>
      </c>
      <c r="J53">
        <v>67</v>
      </c>
      <c r="K53">
        <v>0.91</v>
      </c>
      <c r="L53">
        <v>79</v>
      </c>
      <c r="M53">
        <v>79</v>
      </c>
    </row>
    <row r="54" spans="1:13" x14ac:dyDescent="0.2">
      <c r="A54" t="s">
        <v>176</v>
      </c>
      <c r="B54" t="s">
        <v>14</v>
      </c>
      <c r="C54" t="s">
        <v>160</v>
      </c>
      <c r="D54" t="s">
        <v>133</v>
      </c>
      <c r="E54">
        <v>0</v>
      </c>
      <c r="F54" t="s">
        <v>448</v>
      </c>
    </row>
    <row r="55" spans="1:13" x14ac:dyDescent="0.2">
      <c r="A55" t="s">
        <v>178</v>
      </c>
      <c r="B55" t="s">
        <v>19</v>
      </c>
      <c r="C55" t="s">
        <v>50</v>
      </c>
      <c r="D55" t="s">
        <v>38</v>
      </c>
      <c r="E55">
        <v>1</v>
      </c>
      <c r="F55" t="s">
        <v>448</v>
      </c>
      <c r="G55">
        <v>0.82730000000000004</v>
      </c>
      <c r="H55">
        <v>0.82730000000000004</v>
      </c>
      <c r="I55">
        <v>2.11</v>
      </c>
      <c r="J55">
        <v>66</v>
      </c>
      <c r="K55">
        <v>1</v>
      </c>
      <c r="L55">
        <v>68</v>
      </c>
      <c r="M55">
        <v>68</v>
      </c>
    </row>
    <row r="56" spans="1:13" x14ac:dyDescent="0.2">
      <c r="A56" t="s">
        <v>179</v>
      </c>
      <c r="B56" t="s">
        <v>26</v>
      </c>
      <c r="C56" t="s">
        <v>46</v>
      </c>
      <c r="D56" t="s">
        <v>180</v>
      </c>
      <c r="E56">
        <v>1</v>
      </c>
      <c r="F56" t="s">
        <v>449</v>
      </c>
      <c r="G56">
        <v>0.36696000000000001</v>
      </c>
      <c r="H56">
        <v>0.37615999999999999</v>
      </c>
      <c r="I56">
        <v>3.61</v>
      </c>
      <c r="J56">
        <v>49</v>
      </c>
      <c r="K56">
        <v>0.40799999999999997</v>
      </c>
      <c r="L56">
        <v>80</v>
      </c>
      <c r="M56">
        <v>77</v>
      </c>
    </row>
    <row r="57" spans="1:13" x14ac:dyDescent="0.2">
      <c r="A57" t="s">
        <v>182</v>
      </c>
      <c r="B57" t="s">
        <v>183</v>
      </c>
      <c r="C57" t="s">
        <v>46</v>
      </c>
      <c r="D57" t="s">
        <v>184</v>
      </c>
      <c r="E57">
        <v>1</v>
      </c>
      <c r="F57" t="s">
        <v>450</v>
      </c>
      <c r="G57">
        <v>0.94608999999999999</v>
      </c>
      <c r="H57">
        <v>0.95964000000000005</v>
      </c>
      <c r="I57">
        <v>0.86</v>
      </c>
      <c r="J57">
        <v>67</v>
      </c>
      <c r="K57">
        <v>1</v>
      </c>
      <c r="L57">
        <v>68</v>
      </c>
      <c r="M57">
        <v>67</v>
      </c>
    </row>
    <row r="58" spans="1:13" x14ac:dyDescent="0.2">
      <c r="A58" t="s">
        <v>186</v>
      </c>
      <c r="B58" t="s">
        <v>14</v>
      </c>
      <c r="C58" t="s">
        <v>169</v>
      </c>
      <c r="D58" t="s">
        <v>187</v>
      </c>
      <c r="E58">
        <v>1</v>
      </c>
      <c r="F58" t="s">
        <v>451</v>
      </c>
      <c r="G58">
        <v>0.50429999999999997</v>
      </c>
      <c r="H58">
        <v>0.56074000000000002</v>
      </c>
      <c r="I58">
        <v>3.93</v>
      </c>
      <c r="J58">
        <v>118</v>
      </c>
      <c r="K58">
        <v>0.66100000000000003</v>
      </c>
      <c r="L58">
        <v>157</v>
      </c>
      <c r="M58">
        <v>136</v>
      </c>
    </row>
    <row r="59" spans="1:13" x14ac:dyDescent="0.2">
      <c r="A59" t="s">
        <v>189</v>
      </c>
      <c r="B59" t="s">
        <v>14</v>
      </c>
      <c r="C59" t="s">
        <v>190</v>
      </c>
      <c r="D59" t="s">
        <v>191</v>
      </c>
      <c r="E59">
        <v>1</v>
      </c>
      <c r="F59" t="s">
        <v>452</v>
      </c>
      <c r="G59">
        <v>0.30736000000000002</v>
      </c>
      <c r="H59">
        <v>0.30736000000000002</v>
      </c>
      <c r="I59">
        <v>4.57</v>
      </c>
      <c r="J59">
        <v>75</v>
      </c>
      <c r="K59">
        <v>9.2999999999999999E-2</v>
      </c>
      <c r="L59">
        <v>158</v>
      </c>
      <c r="M59">
        <v>158</v>
      </c>
    </row>
    <row r="60" spans="1:13" x14ac:dyDescent="0.2">
      <c r="A60" t="s">
        <v>193</v>
      </c>
      <c r="B60" t="s">
        <v>14</v>
      </c>
      <c r="C60" t="s">
        <v>194</v>
      </c>
      <c r="D60" t="s">
        <v>140</v>
      </c>
      <c r="E60">
        <v>1</v>
      </c>
      <c r="F60" t="s">
        <v>453</v>
      </c>
      <c r="G60">
        <v>0.30260999999999999</v>
      </c>
      <c r="H60">
        <v>0.30260999999999999</v>
      </c>
      <c r="I60">
        <v>4.87</v>
      </c>
      <c r="J60">
        <v>75</v>
      </c>
      <c r="K60">
        <v>0.04</v>
      </c>
      <c r="L60">
        <v>143</v>
      </c>
      <c r="M60">
        <v>143</v>
      </c>
    </row>
    <row r="61" spans="1:13" x14ac:dyDescent="0.2">
      <c r="A61" t="s">
        <v>196</v>
      </c>
      <c r="B61" t="s">
        <v>197</v>
      </c>
      <c r="C61" t="s">
        <v>148</v>
      </c>
      <c r="D61" t="s">
        <v>133</v>
      </c>
      <c r="E61">
        <v>0</v>
      </c>
      <c r="F61" t="s">
        <v>454</v>
      </c>
    </row>
    <row r="62" spans="1:13" x14ac:dyDescent="0.2">
      <c r="A62" t="s">
        <v>199</v>
      </c>
      <c r="B62" t="s">
        <v>200</v>
      </c>
      <c r="C62" t="s">
        <v>152</v>
      </c>
      <c r="D62" t="s">
        <v>201</v>
      </c>
      <c r="E62">
        <v>1</v>
      </c>
      <c r="F62" t="s">
        <v>454</v>
      </c>
      <c r="G62">
        <v>0.38696999999999998</v>
      </c>
      <c r="H62">
        <v>0.42946000000000001</v>
      </c>
      <c r="I62">
        <v>3.7</v>
      </c>
      <c r="J62">
        <v>57</v>
      </c>
      <c r="K62">
        <v>0.70199999999999996</v>
      </c>
      <c r="L62">
        <v>93</v>
      </c>
      <c r="M62">
        <v>80</v>
      </c>
    </row>
    <row r="63" spans="1:13" x14ac:dyDescent="0.2">
      <c r="A63" t="s">
        <v>202</v>
      </c>
      <c r="B63" t="s">
        <v>14</v>
      </c>
      <c r="C63" t="s">
        <v>203</v>
      </c>
      <c r="D63" t="s">
        <v>204</v>
      </c>
      <c r="E63">
        <v>1</v>
      </c>
      <c r="F63" t="s">
        <v>455</v>
      </c>
      <c r="G63">
        <v>0.28098000000000001</v>
      </c>
      <c r="H63">
        <v>0.28249999999999997</v>
      </c>
      <c r="I63">
        <v>4.76</v>
      </c>
      <c r="J63">
        <v>61</v>
      </c>
      <c r="K63">
        <v>0.47499999999999998</v>
      </c>
      <c r="L63">
        <v>125</v>
      </c>
      <c r="M63">
        <v>124</v>
      </c>
    </row>
    <row r="64" spans="1:13" x14ac:dyDescent="0.2">
      <c r="A64" t="s">
        <v>206</v>
      </c>
      <c r="B64" t="s">
        <v>154</v>
      </c>
      <c r="C64" t="s">
        <v>207</v>
      </c>
      <c r="D64" t="s">
        <v>208</v>
      </c>
      <c r="E64">
        <v>0</v>
      </c>
      <c r="F64" t="s">
        <v>456</v>
      </c>
    </row>
    <row r="65" spans="1:13" x14ac:dyDescent="0.2">
      <c r="A65" t="s">
        <v>210</v>
      </c>
      <c r="B65" t="s">
        <v>136</v>
      </c>
      <c r="C65" t="s">
        <v>152</v>
      </c>
      <c r="D65" t="s">
        <v>38</v>
      </c>
      <c r="E65">
        <v>1</v>
      </c>
      <c r="F65" t="s">
        <v>456</v>
      </c>
      <c r="G65">
        <v>0.25747999999999999</v>
      </c>
      <c r="H65">
        <v>0.2969</v>
      </c>
      <c r="I65">
        <v>3.55</v>
      </c>
      <c r="J65">
        <v>40</v>
      </c>
      <c r="K65">
        <v>0.05</v>
      </c>
      <c r="L65">
        <v>94</v>
      </c>
      <c r="M65">
        <v>74</v>
      </c>
    </row>
    <row r="66" spans="1:13" x14ac:dyDescent="0.2">
      <c r="A66" t="s">
        <v>211</v>
      </c>
      <c r="B66" t="s">
        <v>14</v>
      </c>
      <c r="C66" t="s">
        <v>212</v>
      </c>
      <c r="D66" t="s">
        <v>213</v>
      </c>
      <c r="E66">
        <v>1</v>
      </c>
      <c r="F66" t="s">
        <v>457</v>
      </c>
      <c r="G66">
        <v>0.48496</v>
      </c>
      <c r="H66">
        <v>0.48887999999999998</v>
      </c>
      <c r="I66">
        <v>2.78</v>
      </c>
      <c r="J66">
        <v>45</v>
      </c>
      <c r="K66">
        <v>0.64400000000000002</v>
      </c>
      <c r="L66">
        <v>50</v>
      </c>
      <c r="M66">
        <v>49</v>
      </c>
    </row>
    <row r="67" spans="1:13" x14ac:dyDescent="0.2">
      <c r="A67" t="s">
        <v>215</v>
      </c>
      <c r="B67" t="s">
        <v>14</v>
      </c>
      <c r="C67" t="s">
        <v>216</v>
      </c>
      <c r="D67" t="s">
        <v>217</v>
      </c>
      <c r="E67">
        <v>1</v>
      </c>
      <c r="F67" t="s">
        <v>458</v>
      </c>
      <c r="G67">
        <v>0.28622999999999998</v>
      </c>
      <c r="H67">
        <v>0.28788999999999998</v>
      </c>
      <c r="I67">
        <v>4.7300000000000004</v>
      </c>
      <c r="J67">
        <v>58</v>
      </c>
      <c r="K67">
        <v>5.1999999999999998E-2</v>
      </c>
      <c r="L67">
        <v>114</v>
      </c>
      <c r="M67">
        <v>113</v>
      </c>
    </row>
    <row r="68" spans="1:13" x14ac:dyDescent="0.2">
      <c r="A68" t="s">
        <v>219</v>
      </c>
      <c r="B68" t="s">
        <v>14</v>
      </c>
      <c r="C68" t="s">
        <v>220</v>
      </c>
      <c r="D68" t="s">
        <v>221</v>
      </c>
      <c r="E68">
        <v>0</v>
      </c>
      <c r="F68" t="s">
        <v>459</v>
      </c>
    </row>
    <row r="69" spans="1:13" x14ac:dyDescent="0.2">
      <c r="A69" t="s">
        <v>223</v>
      </c>
      <c r="B69" t="s">
        <v>19</v>
      </c>
      <c r="C69" t="s">
        <v>224</v>
      </c>
      <c r="D69" t="s">
        <v>225</v>
      </c>
      <c r="E69">
        <v>1</v>
      </c>
      <c r="F69" t="s">
        <v>459</v>
      </c>
      <c r="G69">
        <v>0.35893999999999998</v>
      </c>
      <c r="H69">
        <v>0.36326000000000003</v>
      </c>
      <c r="I69">
        <v>4.16</v>
      </c>
      <c r="J69">
        <v>62</v>
      </c>
      <c r="K69">
        <v>6.5000000000000002E-2</v>
      </c>
      <c r="L69">
        <v>93</v>
      </c>
      <c r="M69">
        <v>91</v>
      </c>
    </row>
    <row r="70" spans="1:13" x14ac:dyDescent="0.2">
      <c r="A70" t="s">
        <v>226</v>
      </c>
      <c r="B70" t="s">
        <v>82</v>
      </c>
      <c r="C70" t="s">
        <v>227</v>
      </c>
      <c r="D70" t="s">
        <v>221</v>
      </c>
      <c r="E70">
        <v>0</v>
      </c>
      <c r="F70" t="s">
        <v>460</v>
      </c>
    </row>
    <row r="71" spans="1:13" x14ac:dyDescent="0.2">
      <c r="A71" t="s">
        <v>229</v>
      </c>
      <c r="B71" t="s">
        <v>230</v>
      </c>
      <c r="C71" t="s">
        <v>231</v>
      </c>
      <c r="D71" t="s">
        <v>232</v>
      </c>
      <c r="E71">
        <v>1</v>
      </c>
      <c r="F71" t="s">
        <v>460</v>
      </c>
      <c r="G71">
        <v>0.30623</v>
      </c>
      <c r="H71">
        <v>0.31320999999999999</v>
      </c>
      <c r="I71">
        <v>4.5999999999999996</v>
      </c>
      <c r="J71">
        <v>58</v>
      </c>
      <c r="K71">
        <v>5.1999999999999998E-2</v>
      </c>
      <c r="L71">
        <v>95</v>
      </c>
      <c r="M71">
        <v>91</v>
      </c>
    </row>
    <row r="72" spans="1:13" x14ac:dyDescent="0.2">
      <c r="A72" t="s">
        <v>233</v>
      </c>
      <c r="B72" t="s">
        <v>14</v>
      </c>
      <c r="C72" t="s">
        <v>234</v>
      </c>
      <c r="D72" t="s">
        <v>208</v>
      </c>
      <c r="E72">
        <v>0</v>
      </c>
      <c r="F72" t="s">
        <v>461</v>
      </c>
    </row>
    <row r="73" spans="1:13" x14ac:dyDescent="0.2">
      <c r="A73" t="s">
        <v>236</v>
      </c>
      <c r="B73" t="s">
        <v>19</v>
      </c>
      <c r="C73" t="s">
        <v>237</v>
      </c>
      <c r="D73" t="s">
        <v>238</v>
      </c>
      <c r="E73">
        <v>1</v>
      </c>
      <c r="F73" t="s">
        <v>461</v>
      </c>
      <c r="G73">
        <v>0.42559000000000002</v>
      </c>
      <c r="H73">
        <v>0.69559000000000004</v>
      </c>
      <c r="I73">
        <v>1.76</v>
      </c>
      <c r="J73">
        <v>25</v>
      </c>
      <c r="K73">
        <v>1</v>
      </c>
      <c r="L73">
        <v>51</v>
      </c>
      <c r="M73">
        <v>27</v>
      </c>
    </row>
    <row r="74" spans="1:13" x14ac:dyDescent="0.2">
      <c r="A74" t="s">
        <v>239</v>
      </c>
      <c r="B74" t="s">
        <v>14</v>
      </c>
      <c r="C74" t="s">
        <v>240</v>
      </c>
      <c r="D74" t="s">
        <v>241</v>
      </c>
      <c r="E74">
        <v>1</v>
      </c>
      <c r="F74" t="s">
        <v>462</v>
      </c>
      <c r="G74">
        <v>0.27176</v>
      </c>
      <c r="H74">
        <v>0.32180999999999998</v>
      </c>
      <c r="I74">
        <v>6.07</v>
      </c>
      <c r="J74">
        <v>122</v>
      </c>
      <c r="K74">
        <v>7.3999999999999996E-2</v>
      </c>
      <c r="L74">
        <v>267</v>
      </c>
      <c r="M74">
        <v>209</v>
      </c>
    </row>
    <row r="75" spans="1:13" x14ac:dyDescent="0.2">
      <c r="A75" t="s">
        <v>243</v>
      </c>
      <c r="B75" t="s">
        <v>26</v>
      </c>
      <c r="C75" t="s">
        <v>244</v>
      </c>
      <c r="D75" t="s">
        <v>241</v>
      </c>
      <c r="E75">
        <v>1</v>
      </c>
      <c r="F75" t="s">
        <v>462</v>
      </c>
      <c r="G75">
        <v>0.35813</v>
      </c>
      <c r="H75">
        <v>0.35813</v>
      </c>
      <c r="I75">
        <v>4.88</v>
      </c>
      <c r="J75">
        <v>104</v>
      </c>
      <c r="K75">
        <v>0.45200000000000001</v>
      </c>
      <c r="L75">
        <v>185</v>
      </c>
      <c r="M75">
        <v>185</v>
      </c>
    </row>
    <row r="76" spans="1:13" x14ac:dyDescent="0.2">
      <c r="A76" t="s">
        <v>245</v>
      </c>
      <c r="B76" t="s">
        <v>246</v>
      </c>
      <c r="C76" t="s">
        <v>247</v>
      </c>
      <c r="D76" t="s">
        <v>241</v>
      </c>
      <c r="E76">
        <v>0</v>
      </c>
      <c r="F76" t="s">
        <v>462</v>
      </c>
    </row>
    <row r="77" spans="1:13" x14ac:dyDescent="0.2">
      <c r="A77" t="s">
        <v>248</v>
      </c>
      <c r="B77" t="s">
        <v>249</v>
      </c>
      <c r="C77" t="s">
        <v>250</v>
      </c>
      <c r="D77" t="s">
        <v>251</v>
      </c>
      <c r="E77">
        <v>0</v>
      </c>
      <c r="F77" t="s">
        <v>463</v>
      </c>
    </row>
    <row r="78" spans="1:13" x14ac:dyDescent="0.2">
      <c r="A78" t="s">
        <v>253</v>
      </c>
      <c r="B78" t="s">
        <v>254</v>
      </c>
      <c r="C78" t="s">
        <v>255</v>
      </c>
      <c r="D78" t="s">
        <v>217</v>
      </c>
      <c r="E78">
        <v>1</v>
      </c>
      <c r="F78" t="s">
        <v>463</v>
      </c>
      <c r="G78">
        <v>0.48585</v>
      </c>
      <c r="H78">
        <v>0.48843999999999999</v>
      </c>
      <c r="I78">
        <v>6.13</v>
      </c>
      <c r="J78">
        <v>315</v>
      </c>
      <c r="K78">
        <v>0.41</v>
      </c>
      <c r="L78">
        <v>434</v>
      </c>
      <c r="M78">
        <v>431</v>
      </c>
    </row>
    <row r="79" spans="1:13" x14ac:dyDescent="0.2">
      <c r="A79" t="s">
        <v>256</v>
      </c>
      <c r="B79" t="s">
        <v>26</v>
      </c>
      <c r="C79" t="s">
        <v>257</v>
      </c>
      <c r="D79" t="s">
        <v>217</v>
      </c>
      <c r="E79">
        <v>1</v>
      </c>
      <c r="F79" t="s">
        <v>464</v>
      </c>
      <c r="G79">
        <v>0.52022000000000002</v>
      </c>
      <c r="H79">
        <v>0.78097000000000005</v>
      </c>
      <c r="I79">
        <v>3.83</v>
      </c>
      <c r="J79">
        <v>350</v>
      </c>
      <c r="K79">
        <v>0.64600000000000002</v>
      </c>
      <c r="L79">
        <v>575</v>
      </c>
      <c r="M79">
        <v>362</v>
      </c>
    </row>
    <row r="80" spans="1:13" x14ac:dyDescent="0.2">
      <c r="A80" t="s">
        <v>259</v>
      </c>
      <c r="B80" t="s">
        <v>260</v>
      </c>
      <c r="C80" t="s">
        <v>261</v>
      </c>
      <c r="D80" t="s">
        <v>251</v>
      </c>
      <c r="E80">
        <v>0</v>
      </c>
      <c r="F80" t="s">
        <v>465</v>
      </c>
    </row>
    <row r="81" spans="1:13" x14ac:dyDescent="0.2">
      <c r="A81" t="s">
        <v>263</v>
      </c>
      <c r="B81" t="s">
        <v>264</v>
      </c>
      <c r="C81" t="s">
        <v>257</v>
      </c>
      <c r="D81" t="s">
        <v>217</v>
      </c>
      <c r="E81">
        <v>1</v>
      </c>
      <c r="F81" t="s">
        <v>465</v>
      </c>
      <c r="G81">
        <v>0.54527999999999999</v>
      </c>
      <c r="H81">
        <v>0.75568000000000002</v>
      </c>
      <c r="I81">
        <v>4.37</v>
      </c>
      <c r="J81">
        <v>379</v>
      </c>
      <c r="K81">
        <v>0.76300000000000001</v>
      </c>
      <c r="L81">
        <v>575</v>
      </c>
      <c r="M81">
        <v>394</v>
      </c>
    </row>
    <row r="82" spans="1:13" x14ac:dyDescent="0.2">
      <c r="A82" t="s">
        <v>265</v>
      </c>
      <c r="B82" t="s">
        <v>14</v>
      </c>
      <c r="C82" t="s">
        <v>261</v>
      </c>
      <c r="D82" t="s">
        <v>251</v>
      </c>
      <c r="E82">
        <v>0</v>
      </c>
      <c r="F82" t="s">
        <v>466</v>
      </c>
    </row>
    <row r="83" spans="1:13" x14ac:dyDescent="0.2">
      <c r="A83" t="s">
        <v>267</v>
      </c>
      <c r="B83" t="s">
        <v>19</v>
      </c>
      <c r="C83" t="s">
        <v>257</v>
      </c>
      <c r="D83" t="s">
        <v>217</v>
      </c>
      <c r="E83">
        <v>1</v>
      </c>
      <c r="F83" t="s">
        <v>466</v>
      </c>
      <c r="G83">
        <v>0.38114999999999999</v>
      </c>
      <c r="H83">
        <v>0.42748999999999998</v>
      </c>
      <c r="I83">
        <v>6.1</v>
      </c>
      <c r="J83">
        <v>250</v>
      </c>
      <c r="K83">
        <v>0.46</v>
      </c>
      <c r="L83">
        <v>441</v>
      </c>
      <c r="M83">
        <v>379</v>
      </c>
    </row>
    <row r="84" spans="1:13" x14ac:dyDescent="0.2">
      <c r="A84" t="s">
        <v>268</v>
      </c>
      <c r="B84" t="s">
        <v>14</v>
      </c>
      <c r="C84" t="s">
        <v>269</v>
      </c>
      <c r="D84" t="s">
        <v>238</v>
      </c>
      <c r="E84">
        <v>1</v>
      </c>
      <c r="F84" t="s">
        <v>467</v>
      </c>
      <c r="G84">
        <v>0.75200999999999996</v>
      </c>
      <c r="H84">
        <v>0.75200999999999996</v>
      </c>
      <c r="I84">
        <v>1.76</v>
      </c>
      <c r="J84">
        <v>56</v>
      </c>
      <c r="K84">
        <v>1</v>
      </c>
      <c r="L84">
        <v>60</v>
      </c>
      <c r="M84">
        <v>60</v>
      </c>
    </row>
    <row r="85" spans="1:13" x14ac:dyDescent="0.2">
      <c r="A85" t="s">
        <v>271</v>
      </c>
      <c r="B85" t="s">
        <v>14</v>
      </c>
      <c r="C85" t="s">
        <v>269</v>
      </c>
      <c r="D85" t="s">
        <v>238</v>
      </c>
      <c r="E85">
        <v>1</v>
      </c>
      <c r="F85" t="s">
        <v>467</v>
      </c>
      <c r="G85">
        <v>0.61499999999999999</v>
      </c>
      <c r="H85">
        <v>0.61499999999999999</v>
      </c>
      <c r="I85">
        <v>2.2200000000000002</v>
      </c>
      <c r="J85">
        <v>67</v>
      </c>
      <c r="K85">
        <v>0.97</v>
      </c>
      <c r="L85">
        <v>89</v>
      </c>
      <c r="M85">
        <v>89</v>
      </c>
    </row>
    <row r="86" spans="1:13" x14ac:dyDescent="0.2">
      <c r="A86" t="s">
        <v>272</v>
      </c>
      <c r="B86" t="s">
        <v>14</v>
      </c>
      <c r="C86" t="s">
        <v>269</v>
      </c>
      <c r="D86" t="s">
        <v>238</v>
      </c>
      <c r="E86">
        <v>1</v>
      </c>
      <c r="F86" t="s">
        <v>467</v>
      </c>
      <c r="G86">
        <v>0.31375999999999998</v>
      </c>
      <c r="H86">
        <v>0.32385000000000003</v>
      </c>
      <c r="I86">
        <v>3.43</v>
      </c>
      <c r="J86">
        <v>44</v>
      </c>
      <c r="K86">
        <v>0.61399999999999999</v>
      </c>
      <c r="L86">
        <v>95</v>
      </c>
      <c r="M86">
        <v>91</v>
      </c>
    </row>
    <row r="87" spans="1:13" x14ac:dyDescent="0.2">
      <c r="A87" t="s">
        <v>273</v>
      </c>
      <c r="B87" t="s">
        <v>82</v>
      </c>
      <c r="C87" t="s">
        <v>274</v>
      </c>
      <c r="D87" t="s">
        <v>275</v>
      </c>
      <c r="E87">
        <v>1</v>
      </c>
      <c r="F87" t="s">
        <v>468</v>
      </c>
      <c r="G87">
        <v>0.74278999999999995</v>
      </c>
      <c r="H87">
        <v>0.94623000000000002</v>
      </c>
      <c r="I87">
        <v>1.39</v>
      </c>
      <c r="J87">
        <v>112</v>
      </c>
      <c r="K87">
        <v>0.85699999999999998</v>
      </c>
      <c r="L87">
        <v>144</v>
      </c>
      <c r="M87">
        <v>112</v>
      </c>
    </row>
    <row r="88" spans="1:13" x14ac:dyDescent="0.2">
      <c r="A88" t="s">
        <v>277</v>
      </c>
      <c r="B88" t="s">
        <v>14</v>
      </c>
      <c r="C88" t="s">
        <v>278</v>
      </c>
      <c r="D88" t="s">
        <v>279</v>
      </c>
      <c r="E88">
        <v>1</v>
      </c>
      <c r="F88" t="s">
        <v>469</v>
      </c>
      <c r="G88">
        <v>0.42716999999999999</v>
      </c>
      <c r="H88">
        <v>0.66642999999999997</v>
      </c>
      <c r="I88">
        <v>2.83</v>
      </c>
      <c r="J88">
        <v>83</v>
      </c>
      <c r="K88">
        <v>0.81899999999999995</v>
      </c>
      <c r="L88">
        <v>155</v>
      </c>
      <c r="M88">
        <v>89</v>
      </c>
    </row>
    <row r="89" spans="1:13" x14ac:dyDescent="0.2">
      <c r="A89" t="s">
        <v>281</v>
      </c>
      <c r="B89" t="s">
        <v>35</v>
      </c>
      <c r="C89" t="s">
        <v>282</v>
      </c>
      <c r="D89" t="s">
        <v>59</v>
      </c>
      <c r="E89">
        <v>1</v>
      </c>
      <c r="F89" t="s">
        <v>470</v>
      </c>
    </row>
    <row r="90" spans="1:13" x14ac:dyDescent="0.2">
      <c r="A90" t="s">
        <v>284</v>
      </c>
      <c r="B90" t="s">
        <v>26</v>
      </c>
      <c r="C90" t="s">
        <v>285</v>
      </c>
      <c r="D90" t="s">
        <v>59</v>
      </c>
      <c r="E90">
        <v>1</v>
      </c>
      <c r="F90" t="s">
        <v>470</v>
      </c>
    </row>
    <row r="91" spans="1:13" x14ac:dyDescent="0.2">
      <c r="A91" t="s">
        <v>286</v>
      </c>
      <c r="B91" t="s">
        <v>14</v>
      </c>
      <c r="C91" t="s">
        <v>287</v>
      </c>
      <c r="D91" t="s">
        <v>241</v>
      </c>
      <c r="E91">
        <v>1</v>
      </c>
      <c r="F91" t="s">
        <v>471</v>
      </c>
      <c r="G91">
        <v>0.26844000000000001</v>
      </c>
      <c r="H91">
        <v>0.27837000000000001</v>
      </c>
      <c r="I91">
        <v>4.3899999999999997</v>
      </c>
      <c r="J91">
        <v>48</v>
      </c>
      <c r="K91">
        <v>0.104</v>
      </c>
      <c r="L91">
        <v>95</v>
      </c>
      <c r="M91">
        <v>89</v>
      </c>
    </row>
    <row r="92" spans="1:13" x14ac:dyDescent="0.2">
      <c r="A92" t="s">
        <v>289</v>
      </c>
      <c r="B92" t="s">
        <v>26</v>
      </c>
      <c r="C92" t="s">
        <v>290</v>
      </c>
      <c r="D92" t="s">
        <v>241</v>
      </c>
      <c r="E92">
        <v>1</v>
      </c>
      <c r="F92" t="s">
        <v>471</v>
      </c>
      <c r="G92">
        <v>0.37218000000000001</v>
      </c>
      <c r="H92">
        <v>0.37369000000000002</v>
      </c>
      <c r="I92">
        <v>5.3</v>
      </c>
      <c r="J92">
        <v>109</v>
      </c>
      <c r="K92">
        <v>0.67900000000000005</v>
      </c>
      <c r="L92">
        <v>170</v>
      </c>
      <c r="M92">
        <v>169</v>
      </c>
    </row>
    <row r="93" spans="1:13" x14ac:dyDescent="0.2">
      <c r="A93" t="s">
        <v>291</v>
      </c>
      <c r="B93" t="s">
        <v>68</v>
      </c>
      <c r="C93" t="s">
        <v>290</v>
      </c>
      <c r="D93" t="s">
        <v>241</v>
      </c>
      <c r="E93">
        <v>0</v>
      </c>
      <c r="F93" t="s">
        <v>471</v>
      </c>
    </row>
    <row r="94" spans="1:13" x14ac:dyDescent="0.2">
      <c r="A94" t="s">
        <v>292</v>
      </c>
      <c r="B94" t="s">
        <v>26</v>
      </c>
      <c r="C94" t="s">
        <v>293</v>
      </c>
      <c r="D94" t="s">
        <v>294</v>
      </c>
      <c r="E94">
        <v>1</v>
      </c>
      <c r="F94" t="s">
        <v>472</v>
      </c>
      <c r="G94">
        <v>0.34483000000000003</v>
      </c>
      <c r="H94">
        <v>0.34483000000000003</v>
      </c>
      <c r="I94">
        <v>4.1500000000000004</v>
      </c>
      <c r="J94">
        <v>56</v>
      </c>
      <c r="K94">
        <v>3.5999999999999997E-2</v>
      </c>
      <c r="L94">
        <v>93</v>
      </c>
      <c r="M94">
        <v>93</v>
      </c>
    </row>
    <row r="95" spans="1:13" x14ac:dyDescent="0.2">
      <c r="A95" t="s">
        <v>296</v>
      </c>
      <c r="B95" t="s">
        <v>14</v>
      </c>
      <c r="C95" t="s">
        <v>297</v>
      </c>
      <c r="D95" t="s">
        <v>298</v>
      </c>
      <c r="E95">
        <v>1</v>
      </c>
      <c r="F95" t="s">
        <v>472</v>
      </c>
      <c r="G95">
        <v>0.82735000000000003</v>
      </c>
      <c r="H95">
        <v>0.90220999999999996</v>
      </c>
      <c r="I95">
        <v>1.4</v>
      </c>
      <c r="J95">
        <v>91</v>
      </c>
      <c r="K95">
        <v>1</v>
      </c>
      <c r="L95">
        <v>104</v>
      </c>
      <c r="M95">
        <v>95</v>
      </c>
    </row>
    <row r="96" spans="1:13" x14ac:dyDescent="0.2">
      <c r="A96" t="s">
        <v>299</v>
      </c>
      <c r="B96" t="s">
        <v>26</v>
      </c>
      <c r="C96" t="s">
        <v>300</v>
      </c>
      <c r="D96" t="s">
        <v>294</v>
      </c>
      <c r="E96">
        <v>1</v>
      </c>
      <c r="F96" t="s">
        <v>472</v>
      </c>
      <c r="G96">
        <v>0.66251000000000004</v>
      </c>
      <c r="H96">
        <v>0.69735000000000003</v>
      </c>
      <c r="I96">
        <v>2.87</v>
      </c>
      <c r="J96">
        <v>85</v>
      </c>
      <c r="K96">
        <v>0.72899999999999998</v>
      </c>
      <c r="L96">
        <v>98</v>
      </c>
      <c r="M96">
        <v>92</v>
      </c>
    </row>
    <row r="97" spans="1:13" x14ac:dyDescent="0.2">
      <c r="A97" t="s">
        <v>301</v>
      </c>
      <c r="B97" t="s">
        <v>14</v>
      </c>
      <c r="C97" t="s">
        <v>302</v>
      </c>
      <c r="D97" t="s">
        <v>294</v>
      </c>
      <c r="E97">
        <v>1</v>
      </c>
      <c r="F97" t="s">
        <v>472</v>
      </c>
      <c r="G97">
        <v>0.71560999999999997</v>
      </c>
      <c r="H97">
        <v>0.74746000000000001</v>
      </c>
      <c r="I97">
        <v>2.33</v>
      </c>
      <c r="J97">
        <v>87</v>
      </c>
      <c r="K97">
        <v>0.90800000000000003</v>
      </c>
      <c r="L97">
        <v>99</v>
      </c>
      <c r="M97">
        <v>94</v>
      </c>
    </row>
    <row r="98" spans="1:13" x14ac:dyDescent="0.2">
      <c r="A98" t="s">
        <v>303</v>
      </c>
      <c r="B98" t="s">
        <v>26</v>
      </c>
      <c r="C98" t="s">
        <v>304</v>
      </c>
      <c r="D98" t="s">
        <v>305</v>
      </c>
      <c r="E98">
        <v>1</v>
      </c>
      <c r="F98" t="s">
        <v>472</v>
      </c>
      <c r="G98">
        <v>0.36121999999999999</v>
      </c>
      <c r="H98">
        <v>0.36121999999999999</v>
      </c>
      <c r="I98">
        <v>4.47</v>
      </c>
      <c r="J98">
        <v>61</v>
      </c>
      <c r="K98">
        <v>0.23</v>
      </c>
      <c r="L98">
        <v>92</v>
      </c>
      <c r="M98">
        <v>92</v>
      </c>
    </row>
    <row r="99" spans="1:13" x14ac:dyDescent="0.2">
      <c r="A99" t="s">
        <v>306</v>
      </c>
      <c r="B99" t="s">
        <v>14</v>
      </c>
      <c r="C99" t="s">
        <v>307</v>
      </c>
      <c r="D99" t="s">
        <v>208</v>
      </c>
      <c r="E99">
        <v>0</v>
      </c>
      <c r="F99" t="s">
        <v>473</v>
      </c>
    </row>
    <row r="100" spans="1:13" x14ac:dyDescent="0.2">
      <c r="A100" t="s">
        <v>309</v>
      </c>
      <c r="B100" t="s">
        <v>19</v>
      </c>
      <c r="C100" t="s">
        <v>310</v>
      </c>
      <c r="D100" t="s">
        <v>238</v>
      </c>
      <c r="E100">
        <v>1</v>
      </c>
      <c r="F100" t="s">
        <v>473</v>
      </c>
      <c r="G100">
        <v>0.42888999999999999</v>
      </c>
      <c r="H100">
        <v>0.52705999999999997</v>
      </c>
      <c r="I100">
        <v>3.54</v>
      </c>
      <c r="J100">
        <v>84</v>
      </c>
      <c r="K100">
        <v>0.69</v>
      </c>
      <c r="L100">
        <v>145</v>
      </c>
      <c r="M100">
        <v>112</v>
      </c>
    </row>
    <row r="101" spans="1:13" x14ac:dyDescent="0.2">
      <c r="A101" t="s">
        <v>311</v>
      </c>
      <c r="B101" t="s">
        <v>26</v>
      </c>
      <c r="C101" t="s">
        <v>312</v>
      </c>
      <c r="D101" t="s">
        <v>217</v>
      </c>
      <c r="E101">
        <v>1</v>
      </c>
      <c r="F101" t="s">
        <v>474</v>
      </c>
      <c r="G101">
        <v>0.34650999999999998</v>
      </c>
      <c r="H101">
        <v>0.35709000000000002</v>
      </c>
      <c r="I101">
        <v>4.53</v>
      </c>
      <c r="J101">
        <v>68</v>
      </c>
      <c r="K101">
        <v>0.441</v>
      </c>
      <c r="L101">
        <v>120</v>
      </c>
      <c r="M101">
        <v>115</v>
      </c>
    </row>
    <row r="102" spans="1:13" x14ac:dyDescent="0.2">
      <c r="A102" t="s">
        <v>314</v>
      </c>
      <c r="B102" t="s">
        <v>14</v>
      </c>
      <c r="C102" t="s">
        <v>315</v>
      </c>
      <c r="D102" t="s">
        <v>16</v>
      </c>
      <c r="E102">
        <v>1</v>
      </c>
      <c r="F102" t="s">
        <v>475</v>
      </c>
      <c r="G102">
        <v>0.23483000000000001</v>
      </c>
      <c r="H102">
        <v>0.28069</v>
      </c>
      <c r="I102">
        <v>5.43</v>
      </c>
      <c r="J102">
        <v>91</v>
      </c>
      <c r="K102">
        <v>5.5E-2</v>
      </c>
      <c r="L102">
        <v>239</v>
      </c>
      <c r="M102">
        <v>185</v>
      </c>
    </row>
    <row r="103" spans="1:13" x14ac:dyDescent="0.2">
      <c r="A103" t="s">
        <v>317</v>
      </c>
      <c r="B103" t="s">
        <v>14</v>
      </c>
      <c r="C103" t="s">
        <v>318</v>
      </c>
      <c r="D103" t="s">
        <v>319</v>
      </c>
      <c r="E103">
        <v>0</v>
      </c>
      <c r="F103" t="s">
        <v>476</v>
      </c>
    </row>
    <row r="104" spans="1:13" x14ac:dyDescent="0.2">
      <c r="A104" t="s">
        <v>321</v>
      </c>
      <c r="B104" t="s">
        <v>19</v>
      </c>
      <c r="C104" t="s">
        <v>322</v>
      </c>
      <c r="D104" t="s">
        <v>323</v>
      </c>
      <c r="E104">
        <v>1</v>
      </c>
      <c r="F104" t="s">
        <v>476</v>
      </c>
      <c r="G104">
        <v>0.50146999999999997</v>
      </c>
      <c r="H104">
        <v>0.58875</v>
      </c>
      <c r="I104">
        <v>3.27</v>
      </c>
      <c r="J104">
        <v>86</v>
      </c>
      <c r="K104">
        <v>0.54700000000000004</v>
      </c>
      <c r="L104">
        <v>122</v>
      </c>
      <c r="M104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B91B-612F-E24A-82A4-F12D3B3AC7BD}">
  <dimension ref="A1:T104"/>
  <sheetViews>
    <sheetView zoomScale="132" workbookViewId="0">
      <selection activeCell="M1" sqref="A1:M1"/>
    </sheetView>
  </sheetViews>
  <sheetFormatPr baseColWidth="10" defaultRowHeight="16" x14ac:dyDescent="0.2"/>
  <sheetData>
    <row r="1" spans="1:20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480</v>
      </c>
      <c r="H1" t="s">
        <v>478</v>
      </c>
      <c r="I1" t="s">
        <v>481</v>
      </c>
      <c r="J1" t="s">
        <v>482</v>
      </c>
      <c r="K1" t="s">
        <v>483</v>
      </c>
      <c r="L1" t="s">
        <v>413</v>
      </c>
      <c r="M1" t="s">
        <v>484</v>
      </c>
      <c r="N1" t="s">
        <v>485</v>
      </c>
      <c r="O1" t="s">
        <v>486</v>
      </c>
      <c r="P1" t="s">
        <v>487</v>
      </c>
      <c r="Q1" t="s">
        <v>488</v>
      </c>
      <c r="R1" t="s">
        <v>489</v>
      </c>
      <c r="S1" t="s">
        <v>490</v>
      </c>
      <c r="T1" t="s">
        <v>491</v>
      </c>
    </row>
    <row r="2" spans="1:20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0.99131000000000002</v>
      </c>
      <c r="I2">
        <v>0.53</v>
      </c>
      <c r="J2">
        <v>224</v>
      </c>
      <c r="K2">
        <v>1</v>
      </c>
      <c r="L2">
        <v>224</v>
      </c>
      <c r="M2">
        <v>224</v>
      </c>
      <c r="N2">
        <v>0.99351</v>
      </c>
      <c r="O2">
        <v>0.99351</v>
      </c>
      <c r="P2">
        <v>0.45</v>
      </c>
      <c r="Q2">
        <v>224</v>
      </c>
      <c r="R2">
        <v>1</v>
      </c>
      <c r="S2">
        <v>224</v>
      </c>
      <c r="T2">
        <v>224</v>
      </c>
    </row>
    <row r="3" spans="1:20" x14ac:dyDescent="0.2">
      <c r="A3" t="s">
        <v>18</v>
      </c>
      <c r="B3" t="s">
        <v>19</v>
      </c>
      <c r="C3" t="s">
        <v>20</v>
      </c>
      <c r="E3">
        <v>0</v>
      </c>
      <c r="F3" t="s">
        <v>415</v>
      </c>
    </row>
    <row r="4" spans="1:20" x14ac:dyDescent="0.2">
      <c r="A4" t="s">
        <v>21</v>
      </c>
      <c r="B4" t="s">
        <v>14</v>
      </c>
      <c r="C4" t="s">
        <v>22</v>
      </c>
      <c r="D4" t="s">
        <v>23</v>
      </c>
      <c r="E4">
        <v>1</v>
      </c>
      <c r="F4" t="s">
        <v>416</v>
      </c>
      <c r="G4">
        <v>0.30002000000000001</v>
      </c>
      <c r="H4">
        <v>0.30002000000000001</v>
      </c>
      <c r="I4">
        <v>3.72</v>
      </c>
      <c r="J4">
        <v>36</v>
      </c>
      <c r="K4">
        <v>0.13900000000000001</v>
      </c>
      <c r="L4">
        <v>60</v>
      </c>
      <c r="M4">
        <v>60</v>
      </c>
      <c r="N4">
        <v>0.36764000000000002</v>
      </c>
      <c r="O4">
        <v>0.36764000000000002</v>
      </c>
      <c r="P4">
        <v>3.51</v>
      </c>
      <c r="Q4">
        <v>41</v>
      </c>
      <c r="R4">
        <v>0.24399999999999999</v>
      </c>
      <c r="S4">
        <v>60</v>
      </c>
      <c r="T4">
        <v>60</v>
      </c>
    </row>
    <row r="5" spans="1:20" x14ac:dyDescent="0.2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417</v>
      </c>
      <c r="G5">
        <v>0.96011999999999997</v>
      </c>
      <c r="H5">
        <v>0.96011999999999997</v>
      </c>
      <c r="I5">
        <v>0.85</v>
      </c>
      <c r="J5">
        <v>105</v>
      </c>
      <c r="K5">
        <v>1</v>
      </c>
      <c r="L5">
        <v>105</v>
      </c>
      <c r="M5">
        <v>105</v>
      </c>
      <c r="N5">
        <v>0.97702</v>
      </c>
      <c r="O5">
        <v>0.97702</v>
      </c>
      <c r="P5">
        <v>0.64</v>
      </c>
      <c r="Q5">
        <v>105</v>
      </c>
      <c r="R5">
        <v>1</v>
      </c>
      <c r="S5">
        <v>105</v>
      </c>
      <c r="T5">
        <v>105</v>
      </c>
    </row>
    <row r="6" spans="1:20" x14ac:dyDescent="0.2">
      <c r="A6" t="s">
        <v>30</v>
      </c>
      <c r="B6" t="s">
        <v>14</v>
      </c>
      <c r="C6" t="s">
        <v>31</v>
      </c>
      <c r="D6" t="s">
        <v>32</v>
      </c>
      <c r="E6">
        <v>1</v>
      </c>
      <c r="F6" t="s">
        <v>418</v>
      </c>
      <c r="G6">
        <v>0.47665000000000002</v>
      </c>
      <c r="H6">
        <v>0.53198000000000001</v>
      </c>
      <c r="I6">
        <v>3.66</v>
      </c>
      <c r="J6">
        <v>81</v>
      </c>
      <c r="K6">
        <v>0.45700000000000002</v>
      </c>
      <c r="L6">
        <v>118</v>
      </c>
      <c r="M6">
        <v>102</v>
      </c>
      <c r="N6">
        <v>0.85414999999999996</v>
      </c>
      <c r="O6">
        <v>0.98619000000000001</v>
      </c>
      <c r="P6">
        <v>0.46</v>
      </c>
      <c r="Q6">
        <v>102</v>
      </c>
      <c r="R6">
        <v>0.99</v>
      </c>
      <c r="S6">
        <v>118</v>
      </c>
      <c r="T6">
        <v>102</v>
      </c>
    </row>
    <row r="7" spans="1:20" x14ac:dyDescent="0.2">
      <c r="A7" t="s">
        <v>34</v>
      </c>
      <c r="B7" t="s">
        <v>35</v>
      </c>
      <c r="C7" t="s">
        <v>31</v>
      </c>
      <c r="D7" t="s">
        <v>32</v>
      </c>
      <c r="E7">
        <v>1</v>
      </c>
      <c r="F7" t="s">
        <v>418</v>
      </c>
      <c r="G7">
        <v>0.47804999999999997</v>
      </c>
      <c r="H7">
        <v>0.53400000000000003</v>
      </c>
      <c r="I7">
        <v>3.65</v>
      </c>
      <c r="J7">
        <v>81</v>
      </c>
      <c r="K7">
        <v>0.45700000000000002</v>
      </c>
      <c r="L7">
        <v>118</v>
      </c>
      <c r="M7">
        <v>102</v>
      </c>
      <c r="N7">
        <v>0.84504999999999997</v>
      </c>
      <c r="O7">
        <v>0.97591000000000006</v>
      </c>
      <c r="P7">
        <v>0.53</v>
      </c>
      <c r="Q7">
        <v>101</v>
      </c>
      <c r="R7">
        <v>1</v>
      </c>
      <c r="S7">
        <v>118</v>
      </c>
      <c r="T7">
        <v>102</v>
      </c>
    </row>
    <row r="8" spans="1:20" x14ac:dyDescent="0.2">
      <c r="A8" t="s">
        <v>36</v>
      </c>
      <c r="B8" t="s">
        <v>14</v>
      </c>
      <c r="C8" t="s">
        <v>37</v>
      </c>
      <c r="D8" t="s">
        <v>38</v>
      </c>
      <c r="E8">
        <v>1</v>
      </c>
      <c r="F8" t="s">
        <v>419</v>
      </c>
      <c r="G8">
        <v>0.45683000000000001</v>
      </c>
      <c r="H8">
        <v>0.45683000000000001</v>
      </c>
      <c r="I8">
        <v>3.88</v>
      </c>
      <c r="J8">
        <v>63</v>
      </c>
      <c r="K8">
        <v>0.69799999999999995</v>
      </c>
      <c r="L8">
        <v>80</v>
      </c>
      <c r="M8">
        <v>80</v>
      </c>
      <c r="N8">
        <v>0.79278999999999999</v>
      </c>
      <c r="O8">
        <v>0.79278999999999999</v>
      </c>
      <c r="P8">
        <v>2.12</v>
      </c>
      <c r="Q8">
        <v>77</v>
      </c>
      <c r="R8">
        <v>0.97399999999999998</v>
      </c>
      <c r="S8">
        <v>80</v>
      </c>
      <c r="T8">
        <v>80</v>
      </c>
    </row>
    <row r="9" spans="1:20" x14ac:dyDescent="0.2">
      <c r="A9" t="s">
        <v>40</v>
      </c>
      <c r="B9" t="s">
        <v>14</v>
      </c>
      <c r="C9" t="s">
        <v>41</v>
      </c>
      <c r="D9" t="s">
        <v>32</v>
      </c>
      <c r="E9">
        <v>1</v>
      </c>
      <c r="F9" t="s">
        <v>420</v>
      </c>
      <c r="G9">
        <v>0.46666999999999997</v>
      </c>
      <c r="H9">
        <v>0.46666999999999997</v>
      </c>
      <c r="I9">
        <v>3.63</v>
      </c>
      <c r="J9">
        <v>60</v>
      </c>
      <c r="K9">
        <v>0.48299999999999998</v>
      </c>
      <c r="L9">
        <v>64</v>
      </c>
      <c r="M9">
        <v>64</v>
      </c>
      <c r="N9">
        <v>0.89905999999999997</v>
      </c>
      <c r="O9">
        <v>0.89905999999999997</v>
      </c>
      <c r="P9">
        <v>1.06</v>
      </c>
      <c r="Q9">
        <v>64</v>
      </c>
      <c r="R9">
        <v>1</v>
      </c>
      <c r="S9">
        <v>64</v>
      </c>
      <c r="T9">
        <v>64</v>
      </c>
    </row>
    <row r="10" spans="1:20" x14ac:dyDescent="0.2">
      <c r="A10" t="s">
        <v>43</v>
      </c>
      <c r="B10" t="s">
        <v>14</v>
      </c>
      <c r="C10" t="s">
        <v>44</v>
      </c>
      <c r="D10" t="s">
        <v>32</v>
      </c>
      <c r="E10">
        <v>1</v>
      </c>
      <c r="F10" t="s">
        <v>420</v>
      </c>
      <c r="G10">
        <v>0.48946000000000001</v>
      </c>
      <c r="H10">
        <v>0.48946000000000001</v>
      </c>
      <c r="I10">
        <v>2.6</v>
      </c>
      <c r="J10">
        <v>45</v>
      </c>
      <c r="K10">
        <v>0.88900000000000001</v>
      </c>
      <c r="L10">
        <v>65</v>
      </c>
      <c r="M10">
        <v>65</v>
      </c>
      <c r="N10">
        <v>0.89207999999999998</v>
      </c>
      <c r="O10">
        <v>0.89207999999999998</v>
      </c>
      <c r="P10">
        <v>1.22</v>
      </c>
      <c r="Q10">
        <v>65</v>
      </c>
      <c r="R10">
        <v>1</v>
      </c>
      <c r="S10">
        <v>65</v>
      </c>
      <c r="T10">
        <v>65</v>
      </c>
    </row>
    <row r="11" spans="1:20" x14ac:dyDescent="0.2">
      <c r="A11" t="s">
        <v>45</v>
      </c>
      <c r="B11" t="s">
        <v>14</v>
      </c>
      <c r="C11" t="s">
        <v>46</v>
      </c>
      <c r="D11" t="s">
        <v>47</v>
      </c>
      <c r="E11">
        <v>1</v>
      </c>
      <c r="F11" t="s">
        <v>421</v>
      </c>
      <c r="G11">
        <v>0.24790999999999999</v>
      </c>
      <c r="H11">
        <v>0.28294999999999998</v>
      </c>
      <c r="I11">
        <v>4.07</v>
      </c>
      <c r="J11">
        <v>43</v>
      </c>
      <c r="K11">
        <v>0.30199999999999999</v>
      </c>
      <c r="L11">
        <v>98</v>
      </c>
      <c r="M11">
        <v>79</v>
      </c>
      <c r="N11">
        <v>0.59770999999999996</v>
      </c>
      <c r="O11">
        <v>0.72843000000000002</v>
      </c>
      <c r="P11">
        <v>1.99</v>
      </c>
      <c r="Q11">
        <v>66</v>
      </c>
      <c r="R11">
        <v>0.92400000000000004</v>
      </c>
      <c r="S11">
        <v>98</v>
      </c>
      <c r="T11">
        <v>79</v>
      </c>
    </row>
    <row r="12" spans="1:20" x14ac:dyDescent="0.2">
      <c r="A12" t="s">
        <v>49</v>
      </c>
      <c r="B12" t="s">
        <v>14</v>
      </c>
      <c r="C12" t="s">
        <v>50</v>
      </c>
      <c r="D12" t="s">
        <v>38</v>
      </c>
      <c r="E12">
        <v>1</v>
      </c>
      <c r="F12" t="s">
        <v>421</v>
      </c>
      <c r="G12">
        <v>0.47844999999999999</v>
      </c>
      <c r="H12">
        <v>0.55854999999999999</v>
      </c>
      <c r="I12">
        <v>2.74</v>
      </c>
      <c r="J12">
        <v>62</v>
      </c>
      <c r="K12">
        <v>0.71</v>
      </c>
      <c r="L12">
        <v>97</v>
      </c>
      <c r="M12">
        <v>79</v>
      </c>
      <c r="N12">
        <v>0.63634000000000002</v>
      </c>
      <c r="O12">
        <v>0.77010000000000001</v>
      </c>
      <c r="P12">
        <v>1.23</v>
      </c>
      <c r="Q12">
        <v>66</v>
      </c>
      <c r="R12">
        <v>1</v>
      </c>
      <c r="S12">
        <v>97</v>
      </c>
      <c r="T12">
        <v>79</v>
      </c>
    </row>
    <row r="13" spans="1:20" x14ac:dyDescent="0.2">
      <c r="A13" t="s">
        <v>51</v>
      </c>
      <c r="B13" t="s">
        <v>14</v>
      </c>
      <c r="C13" t="s">
        <v>50</v>
      </c>
      <c r="D13" t="s">
        <v>38</v>
      </c>
      <c r="E13">
        <v>1</v>
      </c>
      <c r="F13" t="s">
        <v>422</v>
      </c>
      <c r="G13">
        <v>0.77305999999999997</v>
      </c>
      <c r="H13">
        <v>0.77305999999999997</v>
      </c>
      <c r="I13">
        <v>1.78</v>
      </c>
      <c r="J13">
        <v>65</v>
      </c>
      <c r="K13">
        <v>0.93799999999999994</v>
      </c>
      <c r="L13">
        <v>66</v>
      </c>
      <c r="M13">
        <v>66</v>
      </c>
      <c r="N13">
        <v>0.78280000000000005</v>
      </c>
      <c r="O13">
        <v>0.78280000000000005</v>
      </c>
      <c r="P13">
        <v>1.89</v>
      </c>
      <c r="Q13">
        <v>65</v>
      </c>
      <c r="R13">
        <v>0.98499999999999999</v>
      </c>
      <c r="S13">
        <v>66</v>
      </c>
      <c r="T13">
        <v>66</v>
      </c>
    </row>
    <row r="14" spans="1:20" x14ac:dyDescent="0.2">
      <c r="A14" t="s">
        <v>53</v>
      </c>
      <c r="B14" t="s">
        <v>14</v>
      </c>
      <c r="C14" t="s">
        <v>54</v>
      </c>
      <c r="D14" t="s">
        <v>55</v>
      </c>
      <c r="E14">
        <v>1</v>
      </c>
      <c r="F14" t="s">
        <v>423</v>
      </c>
      <c r="G14">
        <v>0.57696000000000003</v>
      </c>
      <c r="H14">
        <v>0.57696000000000003</v>
      </c>
      <c r="I14">
        <v>3.07</v>
      </c>
      <c r="J14">
        <v>81</v>
      </c>
      <c r="K14">
        <v>0.67900000000000005</v>
      </c>
      <c r="L14">
        <v>95</v>
      </c>
      <c r="M14">
        <v>95</v>
      </c>
      <c r="N14">
        <v>0.62495000000000001</v>
      </c>
      <c r="O14">
        <v>0.62495000000000001</v>
      </c>
      <c r="P14">
        <v>2.86</v>
      </c>
      <c r="Q14">
        <v>85</v>
      </c>
      <c r="R14">
        <v>0.8</v>
      </c>
      <c r="S14">
        <v>95</v>
      </c>
      <c r="T14">
        <v>95</v>
      </c>
    </row>
    <row r="15" spans="1:20" x14ac:dyDescent="0.2">
      <c r="A15" t="s">
        <v>57</v>
      </c>
      <c r="B15" t="s">
        <v>14</v>
      </c>
      <c r="C15" t="s">
        <v>58</v>
      </c>
      <c r="D15" t="s">
        <v>59</v>
      </c>
      <c r="E15">
        <v>1</v>
      </c>
      <c r="F15" t="s">
        <v>424</v>
      </c>
      <c r="G15">
        <v>0.28986000000000001</v>
      </c>
      <c r="H15">
        <v>0.30972</v>
      </c>
      <c r="I15">
        <v>4.4000000000000004</v>
      </c>
      <c r="J15">
        <v>62</v>
      </c>
      <c r="K15">
        <v>0.30599999999999999</v>
      </c>
      <c r="L15">
        <v>127</v>
      </c>
      <c r="M15">
        <v>115</v>
      </c>
      <c r="N15">
        <v>0.88400000000000001</v>
      </c>
      <c r="O15">
        <v>0.97443000000000002</v>
      </c>
      <c r="P15">
        <v>0.85</v>
      </c>
      <c r="Q15">
        <v>115</v>
      </c>
      <c r="R15">
        <v>1</v>
      </c>
      <c r="S15">
        <v>127</v>
      </c>
      <c r="T15">
        <v>115</v>
      </c>
    </row>
    <row r="16" spans="1:20" x14ac:dyDescent="0.2">
      <c r="A16" t="s">
        <v>61</v>
      </c>
      <c r="B16" t="s">
        <v>14</v>
      </c>
      <c r="C16" t="s">
        <v>62</v>
      </c>
      <c r="D16" t="s">
        <v>59</v>
      </c>
      <c r="E16">
        <v>1</v>
      </c>
      <c r="F16" t="s">
        <v>425</v>
      </c>
      <c r="G16">
        <v>0.22026000000000001</v>
      </c>
      <c r="H16">
        <v>0.26679000000000003</v>
      </c>
      <c r="I16">
        <v>4.7</v>
      </c>
      <c r="J16">
        <v>54</v>
      </c>
      <c r="K16">
        <v>3.6999999999999998E-2</v>
      </c>
      <c r="L16">
        <v>150</v>
      </c>
      <c r="M16">
        <v>113</v>
      </c>
      <c r="N16">
        <v>0.74663000000000002</v>
      </c>
      <c r="O16">
        <v>0.98836000000000002</v>
      </c>
      <c r="P16">
        <v>0.46</v>
      </c>
      <c r="Q16">
        <v>113</v>
      </c>
      <c r="R16">
        <v>1</v>
      </c>
      <c r="S16">
        <v>150</v>
      </c>
      <c r="T16">
        <v>113</v>
      </c>
    </row>
    <row r="17" spans="1:20" x14ac:dyDescent="0.2">
      <c r="A17" t="s">
        <v>64</v>
      </c>
      <c r="B17" t="s">
        <v>26</v>
      </c>
      <c r="C17" t="s">
        <v>65</v>
      </c>
      <c r="D17" t="s">
        <v>16</v>
      </c>
      <c r="E17">
        <v>1</v>
      </c>
      <c r="F17" t="s">
        <v>426</v>
      </c>
      <c r="G17">
        <v>0.83818000000000004</v>
      </c>
      <c r="H17">
        <v>0.92225000000000001</v>
      </c>
      <c r="I17">
        <v>1.89</v>
      </c>
      <c r="J17">
        <v>244</v>
      </c>
      <c r="K17">
        <v>0.92600000000000005</v>
      </c>
      <c r="L17">
        <v>271</v>
      </c>
      <c r="M17">
        <v>245</v>
      </c>
      <c r="N17">
        <v>0.87783</v>
      </c>
      <c r="O17">
        <v>0.96877000000000002</v>
      </c>
      <c r="P17">
        <v>1.18</v>
      </c>
      <c r="Q17">
        <v>245</v>
      </c>
      <c r="R17">
        <v>1</v>
      </c>
      <c r="S17">
        <v>271</v>
      </c>
      <c r="T17">
        <v>245</v>
      </c>
    </row>
    <row r="18" spans="1:20" x14ac:dyDescent="0.2">
      <c r="A18" t="s">
        <v>67</v>
      </c>
      <c r="B18" t="s">
        <v>68</v>
      </c>
      <c r="C18" t="s">
        <v>69</v>
      </c>
      <c r="D18" t="s">
        <v>16</v>
      </c>
      <c r="E18">
        <v>0</v>
      </c>
      <c r="F18" t="s">
        <v>426</v>
      </c>
    </row>
    <row r="19" spans="1:20" x14ac:dyDescent="0.2">
      <c r="A19" t="s">
        <v>70</v>
      </c>
      <c r="B19" t="s">
        <v>14</v>
      </c>
      <c r="C19" t="s">
        <v>71</v>
      </c>
      <c r="D19" t="s">
        <v>72</v>
      </c>
      <c r="E19">
        <v>1</v>
      </c>
      <c r="F19" t="s">
        <v>427</v>
      </c>
      <c r="G19">
        <v>0.66752999999999996</v>
      </c>
      <c r="H19">
        <v>0.78974</v>
      </c>
      <c r="I19">
        <v>3.29</v>
      </c>
      <c r="J19">
        <v>183</v>
      </c>
      <c r="K19">
        <v>0.85799999999999998</v>
      </c>
      <c r="L19">
        <v>228</v>
      </c>
      <c r="M19">
        <v>189</v>
      </c>
      <c r="N19">
        <v>0.81535000000000002</v>
      </c>
      <c r="O19">
        <v>0.98050999999999999</v>
      </c>
      <c r="P19">
        <v>0.73</v>
      </c>
      <c r="Q19">
        <v>189</v>
      </c>
      <c r="R19">
        <v>1</v>
      </c>
      <c r="S19">
        <v>228</v>
      </c>
      <c r="T19">
        <v>189</v>
      </c>
    </row>
    <row r="20" spans="1:20" x14ac:dyDescent="0.2">
      <c r="A20" t="s">
        <v>74</v>
      </c>
      <c r="B20" t="s">
        <v>14</v>
      </c>
      <c r="C20" t="s">
        <v>71</v>
      </c>
      <c r="D20" t="s">
        <v>72</v>
      </c>
      <c r="E20">
        <v>1</v>
      </c>
      <c r="F20" t="s">
        <v>428</v>
      </c>
      <c r="G20">
        <v>0.66747999999999996</v>
      </c>
      <c r="H20">
        <v>0.78885000000000005</v>
      </c>
      <c r="I20">
        <v>3.31</v>
      </c>
      <c r="J20">
        <v>184</v>
      </c>
      <c r="K20">
        <v>0.83699999999999997</v>
      </c>
      <c r="L20">
        <v>228</v>
      </c>
      <c r="M20">
        <v>189</v>
      </c>
      <c r="N20">
        <v>0.82006999999999997</v>
      </c>
      <c r="O20">
        <v>0.98724999999999996</v>
      </c>
      <c r="P20">
        <v>0.59</v>
      </c>
      <c r="Q20">
        <v>189</v>
      </c>
      <c r="R20">
        <v>1</v>
      </c>
      <c r="S20">
        <v>228</v>
      </c>
      <c r="T20">
        <v>189</v>
      </c>
    </row>
    <row r="21" spans="1:20" x14ac:dyDescent="0.2">
      <c r="A21" t="s">
        <v>76</v>
      </c>
      <c r="B21" t="s">
        <v>77</v>
      </c>
      <c r="C21" t="s">
        <v>78</v>
      </c>
      <c r="D21" t="s">
        <v>79</v>
      </c>
      <c r="E21">
        <v>1</v>
      </c>
      <c r="F21" t="s">
        <v>429</v>
      </c>
      <c r="G21">
        <v>0.41221000000000002</v>
      </c>
      <c r="H21">
        <v>0.43071999999999999</v>
      </c>
      <c r="I21">
        <v>4.3099999999999996</v>
      </c>
      <c r="J21">
        <v>130</v>
      </c>
      <c r="K21">
        <v>0.623</v>
      </c>
      <c r="L21">
        <v>238</v>
      </c>
      <c r="M21">
        <v>226</v>
      </c>
    </row>
    <row r="22" spans="1:20" x14ac:dyDescent="0.2">
      <c r="A22" t="s">
        <v>81</v>
      </c>
      <c r="B22" t="s">
        <v>82</v>
      </c>
      <c r="C22" t="s">
        <v>83</v>
      </c>
      <c r="D22" t="s">
        <v>79</v>
      </c>
      <c r="E22">
        <v>1</v>
      </c>
      <c r="F22" t="s">
        <v>429</v>
      </c>
      <c r="G22">
        <v>0.42662</v>
      </c>
      <c r="H22">
        <v>0.46160000000000001</v>
      </c>
      <c r="I22">
        <v>4.62</v>
      </c>
      <c r="J22">
        <v>141</v>
      </c>
      <c r="K22">
        <v>0.51100000000000001</v>
      </c>
      <c r="L22">
        <v>244</v>
      </c>
      <c r="M22">
        <v>222</v>
      </c>
      <c r="N22">
        <v>0.84252000000000005</v>
      </c>
      <c r="O22">
        <v>0.92051000000000005</v>
      </c>
      <c r="P22">
        <v>1.83</v>
      </c>
      <c r="Q22">
        <v>222</v>
      </c>
      <c r="R22">
        <v>0.995</v>
      </c>
      <c r="S22">
        <v>244</v>
      </c>
      <c r="T22">
        <v>222</v>
      </c>
    </row>
    <row r="23" spans="1:20" x14ac:dyDescent="0.2">
      <c r="A23" t="s">
        <v>84</v>
      </c>
      <c r="B23" t="s">
        <v>77</v>
      </c>
      <c r="C23" t="s">
        <v>85</v>
      </c>
      <c r="D23" t="s">
        <v>86</v>
      </c>
      <c r="E23">
        <v>1</v>
      </c>
      <c r="F23" t="s">
        <v>430</v>
      </c>
      <c r="G23">
        <v>0.67706999999999995</v>
      </c>
      <c r="H23">
        <v>0.68149999999999999</v>
      </c>
      <c r="I23">
        <v>3.2</v>
      </c>
      <c r="J23">
        <v>113</v>
      </c>
      <c r="K23">
        <v>0.77</v>
      </c>
      <c r="L23">
        <v>131</v>
      </c>
      <c r="M23">
        <v>130</v>
      </c>
      <c r="N23">
        <v>0.95079000000000002</v>
      </c>
      <c r="O23">
        <v>0.95804999999999996</v>
      </c>
      <c r="P23">
        <v>0.69</v>
      </c>
      <c r="Q23">
        <v>126</v>
      </c>
      <c r="R23">
        <v>1</v>
      </c>
      <c r="S23">
        <v>131</v>
      </c>
      <c r="T23">
        <v>130</v>
      </c>
    </row>
    <row r="24" spans="1:20" x14ac:dyDescent="0.2">
      <c r="A24" t="s">
        <v>88</v>
      </c>
      <c r="B24" t="s">
        <v>77</v>
      </c>
      <c r="C24" t="s">
        <v>85</v>
      </c>
      <c r="D24" t="s">
        <v>86</v>
      </c>
      <c r="E24">
        <v>1</v>
      </c>
      <c r="F24" t="s">
        <v>430</v>
      </c>
      <c r="G24">
        <v>0.67791000000000001</v>
      </c>
      <c r="H24">
        <v>0.68235000000000001</v>
      </c>
      <c r="I24">
        <v>3.2</v>
      </c>
      <c r="J24">
        <v>113</v>
      </c>
      <c r="K24">
        <v>0.77</v>
      </c>
      <c r="L24">
        <v>131</v>
      </c>
      <c r="M24">
        <v>130</v>
      </c>
      <c r="N24">
        <v>0.95140000000000002</v>
      </c>
      <c r="O24">
        <v>0.95867000000000002</v>
      </c>
      <c r="P24">
        <v>0.68</v>
      </c>
      <c r="Q24">
        <v>126</v>
      </c>
      <c r="R24">
        <v>1</v>
      </c>
      <c r="S24">
        <v>131</v>
      </c>
      <c r="T24">
        <v>130</v>
      </c>
    </row>
    <row r="25" spans="1:20" x14ac:dyDescent="0.2">
      <c r="A25" t="s">
        <v>89</v>
      </c>
      <c r="B25" t="s">
        <v>14</v>
      </c>
      <c r="C25" t="s">
        <v>90</v>
      </c>
      <c r="D25" t="s">
        <v>91</v>
      </c>
      <c r="E25">
        <v>1</v>
      </c>
      <c r="F25" t="s">
        <v>427</v>
      </c>
      <c r="G25">
        <v>0.79468000000000005</v>
      </c>
      <c r="H25">
        <v>0.82255</v>
      </c>
      <c r="I25">
        <v>2.1800000000000002</v>
      </c>
      <c r="J25">
        <v>74</v>
      </c>
      <c r="K25">
        <v>1</v>
      </c>
      <c r="L25">
        <v>80</v>
      </c>
      <c r="M25">
        <v>77</v>
      </c>
      <c r="N25">
        <v>0.70767000000000002</v>
      </c>
      <c r="O25">
        <v>0.73053999999999997</v>
      </c>
      <c r="P25">
        <v>2.68</v>
      </c>
      <c r="Q25">
        <v>72</v>
      </c>
      <c r="R25">
        <v>0.86099999999999999</v>
      </c>
      <c r="S25">
        <v>80</v>
      </c>
      <c r="T25">
        <v>77</v>
      </c>
    </row>
    <row r="26" spans="1:20" x14ac:dyDescent="0.2">
      <c r="A26" t="s">
        <v>92</v>
      </c>
      <c r="B26" t="s">
        <v>19</v>
      </c>
      <c r="C26" t="s">
        <v>93</v>
      </c>
      <c r="D26" t="s">
        <v>91</v>
      </c>
      <c r="E26">
        <v>1</v>
      </c>
      <c r="F26" t="s">
        <v>427</v>
      </c>
      <c r="G26">
        <v>0.86446999999999996</v>
      </c>
      <c r="H26">
        <v>0.94089999999999996</v>
      </c>
      <c r="I26">
        <v>0.83</v>
      </c>
      <c r="J26">
        <v>74</v>
      </c>
      <c r="K26">
        <v>1</v>
      </c>
      <c r="L26">
        <v>81</v>
      </c>
      <c r="M26">
        <v>74</v>
      </c>
      <c r="N26">
        <v>0.49752000000000002</v>
      </c>
      <c r="O26">
        <v>0.52569999999999995</v>
      </c>
      <c r="P26">
        <v>3.37</v>
      </c>
      <c r="Q26">
        <v>67</v>
      </c>
      <c r="R26">
        <v>0.373</v>
      </c>
      <c r="S26">
        <v>81</v>
      </c>
      <c r="T26">
        <v>74</v>
      </c>
    </row>
    <row r="27" spans="1:20" x14ac:dyDescent="0.2">
      <c r="A27" t="s">
        <v>94</v>
      </c>
      <c r="B27" t="s">
        <v>26</v>
      </c>
      <c r="C27" t="s">
        <v>95</v>
      </c>
      <c r="D27" t="s">
        <v>96</v>
      </c>
      <c r="E27">
        <v>1</v>
      </c>
      <c r="F27" t="s">
        <v>431</v>
      </c>
      <c r="G27">
        <v>0.59402999999999995</v>
      </c>
      <c r="H27">
        <v>0.95198000000000005</v>
      </c>
      <c r="I27">
        <v>0.73</v>
      </c>
      <c r="J27">
        <v>74</v>
      </c>
      <c r="K27">
        <v>0.97299999999999998</v>
      </c>
      <c r="L27">
        <v>121</v>
      </c>
      <c r="M27">
        <v>74</v>
      </c>
      <c r="N27">
        <v>0.60172000000000003</v>
      </c>
      <c r="O27">
        <v>0.97214</v>
      </c>
      <c r="P27">
        <v>0.53</v>
      </c>
      <c r="Q27">
        <v>74</v>
      </c>
      <c r="R27">
        <v>1</v>
      </c>
      <c r="S27">
        <v>121</v>
      </c>
      <c r="T27">
        <v>74</v>
      </c>
    </row>
    <row r="28" spans="1:20" x14ac:dyDescent="0.2">
      <c r="A28" t="s">
        <v>98</v>
      </c>
      <c r="B28" t="s">
        <v>26</v>
      </c>
      <c r="C28" t="s">
        <v>99</v>
      </c>
      <c r="D28" t="s">
        <v>100</v>
      </c>
      <c r="E28">
        <v>0</v>
      </c>
      <c r="F28" t="s">
        <v>432</v>
      </c>
    </row>
    <row r="29" spans="1:20" x14ac:dyDescent="0.2">
      <c r="A29" t="s">
        <v>102</v>
      </c>
      <c r="B29" t="s">
        <v>68</v>
      </c>
      <c r="C29" t="s">
        <v>103</v>
      </c>
      <c r="D29" t="s">
        <v>104</v>
      </c>
      <c r="E29">
        <v>1</v>
      </c>
      <c r="F29" t="s">
        <v>432</v>
      </c>
      <c r="G29">
        <v>0.73897999999999997</v>
      </c>
      <c r="H29">
        <v>0.81918000000000002</v>
      </c>
      <c r="I29">
        <v>1.89</v>
      </c>
      <c r="J29">
        <v>78</v>
      </c>
      <c r="K29">
        <v>0.84599999999999997</v>
      </c>
      <c r="L29">
        <v>93</v>
      </c>
      <c r="M29">
        <v>83</v>
      </c>
      <c r="N29">
        <v>0.86482000000000003</v>
      </c>
      <c r="O29">
        <v>0.96606000000000003</v>
      </c>
      <c r="P29">
        <v>0.86</v>
      </c>
      <c r="Q29">
        <v>83</v>
      </c>
      <c r="R29">
        <v>1</v>
      </c>
      <c r="S29">
        <v>93</v>
      </c>
      <c r="T29">
        <v>83</v>
      </c>
    </row>
    <row r="30" spans="1:20" x14ac:dyDescent="0.2">
      <c r="A30" t="s">
        <v>105</v>
      </c>
      <c r="B30" t="s">
        <v>26</v>
      </c>
      <c r="C30" t="s">
        <v>106</v>
      </c>
      <c r="D30" t="s">
        <v>38</v>
      </c>
      <c r="E30">
        <v>1</v>
      </c>
      <c r="F30" t="s">
        <v>433</v>
      </c>
      <c r="G30">
        <v>0.94089</v>
      </c>
      <c r="H30">
        <v>0.96857000000000004</v>
      </c>
      <c r="I30">
        <v>1.07</v>
      </c>
      <c r="J30">
        <v>133</v>
      </c>
      <c r="K30">
        <v>1</v>
      </c>
      <c r="L30">
        <v>137</v>
      </c>
      <c r="M30">
        <v>133</v>
      </c>
      <c r="N30">
        <v>0.96157000000000004</v>
      </c>
      <c r="O30">
        <v>0.99019000000000001</v>
      </c>
      <c r="P30">
        <v>0.43</v>
      </c>
      <c r="Q30">
        <v>133</v>
      </c>
      <c r="R30">
        <v>1</v>
      </c>
      <c r="S30">
        <v>137</v>
      </c>
      <c r="T30">
        <v>133</v>
      </c>
    </row>
    <row r="31" spans="1:20" x14ac:dyDescent="0.2">
      <c r="A31" t="s">
        <v>108</v>
      </c>
      <c r="B31" t="s">
        <v>26</v>
      </c>
      <c r="C31" t="s">
        <v>109</v>
      </c>
      <c r="D31" t="s">
        <v>104</v>
      </c>
      <c r="E31">
        <v>1</v>
      </c>
      <c r="F31" t="s">
        <v>434</v>
      </c>
      <c r="G31">
        <v>0.91459000000000001</v>
      </c>
      <c r="H31">
        <v>0.97292000000000001</v>
      </c>
      <c r="I31">
        <v>1.47</v>
      </c>
      <c r="J31">
        <v>568</v>
      </c>
      <c r="K31">
        <v>1</v>
      </c>
      <c r="L31">
        <v>605</v>
      </c>
      <c r="M31">
        <v>568</v>
      </c>
      <c r="N31">
        <v>0.93586999999999998</v>
      </c>
      <c r="O31">
        <v>0.99666999999999994</v>
      </c>
      <c r="P31">
        <v>0.49</v>
      </c>
      <c r="Q31">
        <v>568</v>
      </c>
      <c r="R31">
        <v>1</v>
      </c>
      <c r="S31">
        <v>605</v>
      </c>
      <c r="T31">
        <v>568</v>
      </c>
    </row>
    <row r="32" spans="1:20" x14ac:dyDescent="0.2">
      <c r="A32" t="s">
        <v>111</v>
      </c>
      <c r="B32" t="s">
        <v>14</v>
      </c>
      <c r="C32" t="s">
        <v>112</v>
      </c>
      <c r="D32" t="s">
        <v>38</v>
      </c>
      <c r="E32">
        <v>1</v>
      </c>
      <c r="F32" t="s">
        <v>435</v>
      </c>
      <c r="G32">
        <v>0.5675</v>
      </c>
      <c r="H32">
        <v>0.67896999999999996</v>
      </c>
      <c r="I32">
        <v>1.82</v>
      </c>
      <c r="J32">
        <v>64</v>
      </c>
      <c r="K32">
        <v>1</v>
      </c>
      <c r="L32">
        <v>97</v>
      </c>
      <c r="M32">
        <v>79</v>
      </c>
      <c r="N32">
        <v>0.62231000000000003</v>
      </c>
      <c r="O32">
        <v>0.75146000000000002</v>
      </c>
      <c r="P32">
        <v>1.5</v>
      </c>
      <c r="Q32">
        <v>66</v>
      </c>
      <c r="R32">
        <v>1</v>
      </c>
      <c r="S32">
        <v>97</v>
      </c>
      <c r="T32">
        <v>79</v>
      </c>
    </row>
    <row r="33" spans="1:20" x14ac:dyDescent="0.2">
      <c r="A33" t="s">
        <v>114</v>
      </c>
      <c r="B33" t="s">
        <v>14</v>
      </c>
      <c r="C33" t="s">
        <v>115</v>
      </c>
      <c r="D33" t="s">
        <v>116</v>
      </c>
      <c r="E33">
        <v>1</v>
      </c>
      <c r="F33" t="s">
        <v>436</v>
      </c>
      <c r="G33">
        <v>0.74897999999999998</v>
      </c>
      <c r="H33">
        <v>0.99043999999999999</v>
      </c>
      <c r="I33">
        <v>0.34</v>
      </c>
      <c r="J33">
        <v>89</v>
      </c>
      <c r="K33">
        <v>0.98899999999999999</v>
      </c>
      <c r="L33">
        <v>118</v>
      </c>
      <c r="M33">
        <v>89</v>
      </c>
      <c r="N33">
        <v>0.73811000000000004</v>
      </c>
      <c r="O33">
        <v>0.97114999999999996</v>
      </c>
      <c r="P33">
        <v>0.61</v>
      </c>
      <c r="Q33">
        <v>89</v>
      </c>
      <c r="R33">
        <v>0.98899999999999999</v>
      </c>
      <c r="S33">
        <v>118</v>
      </c>
      <c r="T33">
        <v>89</v>
      </c>
    </row>
    <row r="34" spans="1:20" x14ac:dyDescent="0.2">
      <c r="A34" t="s">
        <v>118</v>
      </c>
      <c r="B34" t="s">
        <v>14</v>
      </c>
      <c r="C34" t="s">
        <v>119</v>
      </c>
      <c r="D34" t="s">
        <v>16</v>
      </c>
      <c r="E34">
        <v>1</v>
      </c>
      <c r="F34" t="s">
        <v>437</v>
      </c>
      <c r="G34">
        <v>0.84596000000000005</v>
      </c>
      <c r="H34">
        <v>0.87119000000000002</v>
      </c>
      <c r="I34">
        <v>2.02</v>
      </c>
      <c r="J34">
        <v>121</v>
      </c>
      <c r="K34">
        <v>1</v>
      </c>
      <c r="L34">
        <v>128</v>
      </c>
      <c r="M34">
        <v>124</v>
      </c>
      <c r="N34">
        <v>0.85360999999999998</v>
      </c>
      <c r="O34">
        <v>0.87892000000000003</v>
      </c>
      <c r="P34">
        <v>1.89</v>
      </c>
      <c r="Q34">
        <v>122</v>
      </c>
      <c r="R34">
        <v>0.96699999999999997</v>
      </c>
      <c r="S34">
        <v>128</v>
      </c>
      <c r="T34">
        <v>124</v>
      </c>
    </row>
    <row r="35" spans="1:20" x14ac:dyDescent="0.2">
      <c r="A35" t="s">
        <v>121</v>
      </c>
      <c r="B35" t="s">
        <v>26</v>
      </c>
      <c r="C35" t="s">
        <v>122</v>
      </c>
      <c r="D35" t="s">
        <v>59</v>
      </c>
      <c r="E35">
        <v>1</v>
      </c>
      <c r="F35" t="s">
        <v>438</v>
      </c>
      <c r="G35">
        <v>0.20608000000000001</v>
      </c>
      <c r="H35">
        <v>0.22303999999999999</v>
      </c>
      <c r="I35">
        <v>4.7699999999999996</v>
      </c>
      <c r="J35">
        <v>40</v>
      </c>
      <c r="K35">
        <v>2.5000000000000001E-2</v>
      </c>
      <c r="L35">
        <v>91</v>
      </c>
      <c r="M35">
        <v>77</v>
      </c>
      <c r="N35">
        <v>0.40927000000000002</v>
      </c>
      <c r="O35">
        <v>0.46226</v>
      </c>
      <c r="P35">
        <v>3.43</v>
      </c>
      <c r="Q35">
        <v>55</v>
      </c>
      <c r="R35">
        <v>0.67300000000000004</v>
      </c>
      <c r="S35">
        <v>91</v>
      </c>
      <c r="T35">
        <v>77</v>
      </c>
    </row>
    <row r="36" spans="1:20" x14ac:dyDescent="0.2">
      <c r="A36" t="s">
        <v>124</v>
      </c>
      <c r="B36" t="s">
        <v>14</v>
      </c>
      <c r="C36" t="s">
        <v>125</v>
      </c>
      <c r="D36" t="s">
        <v>126</v>
      </c>
      <c r="E36">
        <v>1</v>
      </c>
      <c r="F36" t="s">
        <v>439</v>
      </c>
      <c r="G36">
        <v>0.73416999999999999</v>
      </c>
      <c r="H36">
        <v>0.92569999999999997</v>
      </c>
      <c r="I36">
        <v>1.42</v>
      </c>
      <c r="J36">
        <v>119</v>
      </c>
      <c r="K36">
        <v>1</v>
      </c>
      <c r="L36">
        <v>155</v>
      </c>
      <c r="M36">
        <v>122</v>
      </c>
      <c r="N36">
        <v>0.76275000000000004</v>
      </c>
      <c r="O36">
        <v>0.96394999999999997</v>
      </c>
      <c r="P36">
        <v>0.79</v>
      </c>
      <c r="Q36">
        <v>121</v>
      </c>
      <c r="R36">
        <v>0.99199999999999999</v>
      </c>
      <c r="S36">
        <v>155</v>
      </c>
      <c r="T36">
        <v>122</v>
      </c>
    </row>
    <row r="37" spans="1:20" x14ac:dyDescent="0.2">
      <c r="A37" t="s">
        <v>128</v>
      </c>
      <c r="B37" t="s">
        <v>77</v>
      </c>
      <c r="C37" t="s">
        <v>129</v>
      </c>
      <c r="D37" t="s">
        <v>38</v>
      </c>
      <c r="E37">
        <v>1</v>
      </c>
      <c r="F37" t="s">
        <v>440</v>
      </c>
      <c r="G37">
        <v>0.80327000000000004</v>
      </c>
      <c r="H37">
        <v>0.91195000000000004</v>
      </c>
      <c r="I37">
        <v>0.85</v>
      </c>
      <c r="J37">
        <v>54</v>
      </c>
      <c r="K37">
        <v>1</v>
      </c>
      <c r="L37">
        <v>64</v>
      </c>
      <c r="M37">
        <v>56</v>
      </c>
      <c r="N37">
        <v>0.80732000000000004</v>
      </c>
      <c r="O37">
        <v>0.91683999999999999</v>
      </c>
      <c r="P37">
        <v>0.74</v>
      </c>
      <c r="Q37">
        <v>54</v>
      </c>
      <c r="R37">
        <v>1</v>
      </c>
      <c r="S37">
        <v>64</v>
      </c>
      <c r="T37">
        <v>56</v>
      </c>
    </row>
    <row r="38" spans="1:20" x14ac:dyDescent="0.2">
      <c r="A38" t="s">
        <v>131</v>
      </c>
      <c r="B38" t="s">
        <v>14</v>
      </c>
      <c r="C38" t="s">
        <v>132</v>
      </c>
      <c r="D38" t="s">
        <v>133</v>
      </c>
      <c r="E38">
        <v>0</v>
      </c>
      <c r="F38" t="s">
        <v>441</v>
      </c>
    </row>
    <row r="39" spans="1:20" x14ac:dyDescent="0.2">
      <c r="A39" t="s">
        <v>135</v>
      </c>
      <c r="B39" t="s">
        <v>136</v>
      </c>
      <c r="C39" t="s">
        <v>137</v>
      </c>
      <c r="D39" t="s">
        <v>47</v>
      </c>
      <c r="E39">
        <v>1</v>
      </c>
      <c r="F39" t="s">
        <v>441</v>
      </c>
      <c r="N39">
        <v>0.74863999999999997</v>
      </c>
      <c r="O39">
        <v>0.92156000000000005</v>
      </c>
      <c r="P39">
        <v>1.39</v>
      </c>
      <c r="Q39">
        <v>61</v>
      </c>
      <c r="R39">
        <v>0.96699999999999997</v>
      </c>
      <c r="S39">
        <v>77</v>
      </c>
      <c r="T39">
        <v>62</v>
      </c>
    </row>
    <row r="40" spans="1:20" x14ac:dyDescent="0.2">
      <c r="A40" t="s">
        <v>138</v>
      </c>
      <c r="B40" t="s">
        <v>77</v>
      </c>
      <c r="C40" t="s">
        <v>139</v>
      </c>
      <c r="D40" t="s">
        <v>140</v>
      </c>
      <c r="E40">
        <v>1</v>
      </c>
      <c r="F40" t="s">
        <v>442</v>
      </c>
      <c r="G40">
        <v>0.96206999999999998</v>
      </c>
      <c r="H40">
        <v>0.96206999999999998</v>
      </c>
      <c r="I40">
        <v>0.91</v>
      </c>
      <c r="J40">
        <v>79</v>
      </c>
      <c r="K40">
        <v>1</v>
      </c>
      <c r="L40">
        <v>79</v>
      </c>
      <c r="M40">
        <v>79</v>
      </c>
      <c r="N40">
        <v>0.93700000000000006</v>
      </c>
      <c r="O40">
        <v>0.93700000000000006</v>
      </c>
      <c r="P40">
        <v>1.48</v>
      </c>
      <c r="Q40">
        <v>79</v>
      </c>
      <c r="R40">
        <v>1</v>
      </c>
      <c r="S40">
        <v>79</v>
      </c>
      <c r="T40">
        <v>79</v>
      </c>
    </row>
    <row r="41" spans="1:20" x14ac:dyDescent="0.2">
      <c r="A41" t="s">
        <v>142</v>
      </c>
      <c r="B41" t="s">
        <v>14</v>
      </c>
      <c r="C41" t="s">
        <v>143</v>
      </c>
      <c r="D41" t="s">
        <v>144</v>
      </c>
      <c r="E41">
        <v>1</v>
      </c>
      <c r="F41" t="s">
        <v>443</v>
      </c>
      <c r="G41">
        <v>0.88753000000000004</v>
      </c>
      <c r="H41">
        <v>0.89615999999999996</v>
      </c>
      <c r="I41">
        <v>1.63</v>
      </c>
      <c r="J41">
        <v>95</v>
      </c>
      <c r="K41">
        <v>0.94699999999999995</v>
      </c>
      <c r="L41">
        <v>98</v>
      </c>
      <c r="M41">
        <v>97</v>
      </c>
      <c r="N41">
        <v>0.88629999999999998</v>
      </c>
      <c r="O41">
        <v>0.89490999999999998</v>
      </c>
      <c r="P41">
        <v>1.65</v>
      </c>
      <c r="Q41">
        <v>95</v>
      </c>
      <c r="R41">
        <v>0.94699999999999995</v>
      </c>
      <c r="S41">
        <v>98</v>
      </c>
      <c r="T41">
        <v>97</v>
      </c>
    </row>
    <row r="42" spans="1:20" x14ac:dyDescent="0.2">
      <c r="A42" t="s">
        <v>146</v>
      </c>
      <c r="B42" t="s">
        <v>147</v>
      </c>
      <c r="C42" t="s">
        <v>148</v>
      </c>
      <c r="D42" t="s">
        <v>133</v>
      </c>
      <c r="E42">
        <v>0</v>
      </c>
      <c r="F42" t="s">
        <v>444</v>
      </c>
    </row>
    <row r="43" spans="1:20" x14ac:dyDescent="0.2">
      <c r="A43" t="s">
        <v>150</v>
      </c>
      <c r="B43" t="s">
        <v>151</v>
      </c>
      <c r="C43" t="s">
        <v>152</v>
      </c>
      <c r="D43" t="s">
        <v>38</v>
      </c>
      <c r="E43">
        <v>1</v>
      </c>
      <c r="F43" t="s">
        <v>444</v>
      </c>
      <c r="G43">
        <v>0.74760000000000004</v>
      </c>
      <c r="H43">
        <v>0.82077999999999995</v>
      </c>
      <c r="I43">
        <v>1.84</v>
      </c>
      <c r="J43">
        <v>78</v>
      </c>
      <c r="K43">
        <v>0.84599999999999997</v>
      </c>
      <c r="L43">
        <v>93</v>
      </c>
      <c r="M43">
        <v>84</v>
      </c>
      <c r="N43">
        <v>0.87107000000000001</v>
      </c>
      <c r="O43">
        <v>0.96275999999999995</v>
      </c>
      <c r="P43">
        <v>0.83</v>
      </c>
      <c r="Q43">
        <v>83</v>
      </c>
      <c r="R43">
        <v>1</v>
      </c>
      <c r="S43">
        <v>93</v>
      </c>
      <c r="T43">
        <v>84</v>
      </c>
    </row>
    <row r="44" spans="1:20" x14ac:dyDescent="0.2">
      <c r="A44" t="s">
        <v>153</v>
      </c>
      <c r="B44" t="s">
        <v>154</v>
      </c>
      <c r="C44" t="s">
        <v>152</v>
      </c>
      <c r="D44" t="s">
        <v>38</v>
      </c>
      <c r="E44">
        <v>1</v>
      </c>
      <c r="F44" t="s">
        <v>444</v>
      </c>
      <c r="G44">
        <v>0.31384000000000001</v>
      </c>
      <c r="H44">
        <v>0.34505999999999998</v>
      </c>
      <c r="I44">
        <v>3.63</v>
      </c>
      <c r="J44">
        <v>46</v>
      </c>
      <c r="K44">
        <v>4.2999999999999997E-2</v>
      </c>
      <c r="L44">
        <v>93</v>
      </c>
      <c r="M44">
        <v>81</v>
      </c>
      <c r="N44">
        <v>0.87253000000000003</v>
      </c>
      <c r="O44">
        <v>0.87253000000000003</v>
      </c>
      <c r="P44">
        <v>1.1499999999999999</v>
      </c>
      <c r="Q44">
        <v>84</v>
      </c>
      <c r="R44">
        <v>1</v>
      </c>
      <c r="S44">
        <v>93</v>
      </c>
      <c r="T44">
        <v>93</v>
      </c>
    </row>
    <row r="45" spans="1:20" x14ac:dyDescent="0.2">
      <c r="A45" t="s">
        <v>155</v>
      </c>
      <c r="B45" t="s">
        <v>156</v>
      </c>
      <c r="C45" t="s">
        <v>148</v>
      </c>
      <c r="D45" t="s">
        <v>133</v>
      </c>
      <c r="E45">
        <v>0</v>
      </c>
      <c r="F45" t="s">
        <v>444</v>
      </c>
    </row>
    <row r="46" spans="1:20" x14ac:dyDescent="0.2">
      <c r="A46" t="s">
        <v>157</v>
      </c>
      <c r="B46" t="s">
        <v>14</v>
      </c>
      <c r="C46" t="s">
        <v>148</v>
      </c>
      <c r="D46" t="s">
        <v>133</v>
      </c>
      <c r="E46">
        <v>0</v>
      </c>
      <c r="F46" t="s">
        <v>444</v>
      </c>
    </row>
    <row r="47" spans="1:20" x14ac:dyDescent="0.2">
      <c r="A47" t="s">
        <v>158</v>
      </c>
      <c r="B47" t="s">
        <v>19</v>
      </c>
      <c r="C47" t="s">
        <v>152</v>
      </c>
      <c r="D47" t="s">
        <v>38</v>
      </c>
      <c r="E47">
        <v>1</v>
      </c>
      <c r="F47" t="s">
        <v>444</v>
      </c>
      <c r="G47">
        <v>0.75183</v>
      </c>
      <c r="H47">
        <v>0.85394999999999999</v>
      </c>
      <c r="I47">
        <v>1.52</v>
      </c>
      <c r="J47">
        <v>77</v>
      </c>
      <c r="K47">
        <v>0.85699999999999998</v>
      </c>
      <c r="L47">
        <v>93</v>
      </c>
      <c r="M47">
        <v>81</v>
      </c>
      <c r="N47">
        <v>0.86482999999999999</v>
      </c>
      <c r="O47">
        <v>0.99168999999999996</v>
      </c>
      <c r="P47">
        <v>0.3</v>
      </c>
      <c r="Q47">
        <v>81</v>
      </c>
      <c r="R47">
        <v>1</v>
      </c>
      <c r="S47">
        <v>93</v>
      </c>
      <c r="T47">
        <v>81</v>
      </c>
    </row>
    <row r="48" spans="1:20" x14ac:dyDescent="0.2">
      <c r="A48" t="s">
        <v>159</v>
      </c>
      <c r="B48" t="s">
        <v>26</v>
      </c>
      <c r="C48" t="s">
        <v>160</v>
      </c>
      <c r="D48" t="s">
        <v>133</v>
      </c>
      <c r="E48">
        <v>0</v>
      </c>
      <c r="F48" t="s">
        <v>445</v>
      </c>
    </row>
    <row r="49" spans="1:20" x14ac:dyDescent="0.2">
      <c r="A49" t="s">
        <v>162</v>
      </c>
      <c r="B49" t="s">
        <v>68</v>
      </c>
      <c r="C49" t="s">
        <v>152</v>
      </c>
      <c r="D49" t="s">
        <v>38</v>
      </c>
      <c r="E49">
        <v>1</v>
      </c>
      <c r="F49" t="s">
        <v>445</v>
      </c>
      <c r="G49">
        <v>0.73706000000000005</v>
      </c>
      <c r="H49">
        <v>0.81766000000000005</v>
      </c>
      <c r="I49">
        <v>1.7</v>
      </c>
      <c r="J49">
        <v>77</v>
      </c>
      <c r="K49">
        <v>0.85699999999999998</v>
      </c>
      <c r="L49">
        <v>93</v>
      </c>
      <c r="M49">
        <v>83</v>
      </c>
      <c r="N49">
        <v>0.86502000000000001</v>
      </c>
      <c r="O49">
        <v>0.96592</v>
      </c>
      <c r="P49">
        <v>0.79</v>
      </c>
      <c r="Q49">
        <v>83</v>
      </c>
      <c r="R49">
        <v>1</v>
      </c>
      <c r="S49">
        <v>93</v>
      </c>
      <c r="T49">
        <v>83</v>
      </c>
    </row>
    <row r="50" spans="1:20" x14ac:dyDescent="0.2">
      <c r="A50" t="s">
        <v>163</v>
      </c>
      <c r="B50" t="s">
        <v>164</v>
      </c>
      <c r="C50" t="s">
        <v>152</v>
      </c>
      <c r="D50" t="s">
        <v>38</v>
      </c>
      <c r="E50">
        <v>1</v>
      </c>
      <c r="F50" t="s">
        <v>445</v>
      </c>
      <c r="G50">
        <v>0.28982000000000002</v>
      </c>
      <c r="H50">
        <v>0.35709000000000002</v>
      </c>
      <c r="I50">
        <v>2.87</v>
      </c>
      <c r="J50">
        <v>38</v>
      </c>
      <c r="K50">
        <v>7.9000000000000001E-2</v>
      </c>
      <c r="L50">
        <v>93</v>
      </c>
      <c r="M50">
        <v>70</v>
      </c>
      <c r="N50">
        <v>0.87056</v>
      </c>
      <c r="O50">
        <v>0.98528000000000004</v>
      </c>
      <c r="P50">
        <v>0.4</v>
      </c>
      <c r="Q50">
        <v>82</v>
      </c>
      <c r="R50">
        <v>1</v>
      </c>
      <c r="S50">
        <v>93</v>
      </c>
      <c r="T50">
        <v>82</v>
      </c>
    </row>
    <row r="51" spans="1:20" x14ac:dyDescent="0.2">
      <c r="A51" t="s">
        <v>165</v>
      </c>
      <c r="B51" t="s">
        <v>166</v>
      </c>
      <c r="C51" t="s">
        <v>160</v>
      </c>
      <c r="D51" t="s">
        <v>167</v>
      </c>
      <c r="E51">
        <v>0</v>
      </c>
      <c r="F51" t="s">
        <v>445</v>
      </c>
    </row>
    <row r="52" spans="1:20" x14ac:dyDescent="0.2">
      <c r="A52" t="s">
        <v>168</v>
      </c>
      <c r="B52" t="s">
        <v>14</v>
      </c>
      <c r="C52" t="s">
        <v>169</v>
      </c>
      <c r="D52" t="s">
        <v>170</v>
      </c>
      <c r="E52">
        <v>1</v>
      </c>
      <c r="F52" t="s">
        <v>446</v>
      </c>
      <c r="G52">
        <v>0.3659</v>
      </c>
      <c r="H52">
        <v>0.3659</v>
      </c>
      <c r="I52">
        <v>2.58</v>
      </c>
      <c r="J52">
        <v>34</v>
      </c>
      <c r="K52">
        <v>0.91200000000000003</v>
      </c>
      <c r="L52">
        <v>75</v>
      </c>
      <c r="M52">
        <v>75</v>
      </c>
      <c r="N52">
        <v>0.42210999999999999</v>
      </c>
      <c r="O52">
        <v>0.42210999999999999</v>
      </c>
      <c r="P52">
        <v>2.56</v>
      </c>
      <c r="Q52">
        <v>41</v>
      </c>
      <c r="R52">
        <v>0.90200000000000002</v>
      </c>
      <c r="S52">
        <v>75</v>
      </c>
      <c r="T52">
        <v>75</v>
      </c>
    </row>
    <row r="53" spans="1:20" x14ac:dyDescent="0.2">
      <c r="A53" t="s">
        <v>172</v>
      </c>
      <c r="B53" t="s">
        <v>77</v>
      </c>
      <c r="C53" t="s">
        <v>173</v>
      </c>
      <c r="D53" t="s">
        <v>174</v>
      </c>
      <c r="E53">
        <v>1</v>
      </c>
      <c r="F53" t="s">
        <v>447</v>
      </c>
      <c r="G53">
        <v>0.73097000000000001</v>
      </c>
      <c r="H53">
        <v>0.73097000000000001</v>
      </c>
      <c r="I53">
        <v>2.0699999999999998</v>
      </c>
      <c r="J53">
        <v>67</v>
      </c>
      <c r="K53">
        <v>0.91</v>
      </c>
      <c r="L53">
        <v>79</v>
      </c>
      <c r="M53">
        <v>79</v>
      </c>
      <c r="N53">
        <v>0.88407999999999998</v>
      </c>
      <c r="O53">
        <v>0.88407999999999998</v>
      </c>
      <c r="P53">
        <v>1.81</v>
      </c>
      <c r="Q53">
        <v>76</v>
      </c>
      <c r="R53">
        <v>0.94699999999999995</v>
      </c>
      <c r="S53">
        <v>79</v>
      </c>
      <c r="T53">
        <v>79</v>
      </c>
    </row>
    <row r="54" spans="1:20" x14ac:dyDescent="0.2">
      <c r="A54" t="s">
        <v>176</v>
      </c>
      <c r="B54" t="s">
        <v>14</v>
      </c>
      <c r="C54" t="s">
        <v>160</v>
      </c>
      <c r="D54" t="s">
        <v>133</v>
      </c>
      <c r="E54">
        <v>0</v>
      </c>
      <c r="F54" t="s">
        <v>448</v>
      </c>
    </row>
    <row r="55" spans="1:20" x14ac:dyDescent="0.2">
      <c r="A55" t="s">
        <v>178</v>
      </c>
      <c r="B55" t="s">
        <v>19</v>
      </c>
      <c r="C55" t="s">
        <v>50</v>
      </c>
      <c r="D55" t="s">
        <v>38</v>
      </c>
      <c r="E55">
        <v>1</v>
      </c>
      <c r="F55" t="s">
        <v>448</v>
      </c>
      <c r="G55">
        <v>0.82730000000000004</v>
      </c>
      <c r="H55">
        <v>0.82730000000000004</v>
      </c>
      <c r="I55">
        <v>2.11</v>
      </c>
      <c r="J55">
        <v>66</v>
      </c>
      <c r="K55">
        <v>1</v>
      </c>
      <c r="L55">
        <v>68</v>
      </c>
      <c r="M55">
        <v>68</v>
      </c>
      <c r="N55">
        <v>0.95564000000000004</v>
      </c>
      <c r="O55">
        <v>0.95564000000000004</v>
      </c>
      <c r="P55">
        <v>0.66</v>
      </c>
      <c r="Q55">
        <v>68</v>
      </c>
      <c r="R55">
        <v>1</v>
      </c>
      <c r="S55">
        <v>68</v>
      </c>
      <c r="T55">
        <v>68</v>
      </c>
    </row>
    <row r="56" spans="1:20" x14ac:dyDescent="0.2">
      <c r="A56" t="s">
        <v>179</v>
      </c>
      <c r="B56" t="s">
        <v>26</v>
      </c>
      <c r="C56" t="s">
        <v>46</v>
      </c>
      <c r="D56" t="s">
        <v>180</v>
      </c>
      <c r="E56">
        <v>1</v>
      </c>
      <c r="F56" t="s">
        <v>449</v>
      </c>
      <c r="G56">
        <v>0.36696000000000001</v>
      </c>
      <c r="H56">
        <v>0.37615999999999999</v>
      </c>
      <c r="I56">
        <v>3.61</v>
      </c>
      <c r="J56">
        <v>49</v>
      </c>
      <c r="K56">
        <v>0.40799999999999997</v>
      </c>
      <c r="L56">
        <v>80</v>
      </c>
      <c r="M56">
        <v>77</v>
      </c>
      <c r="N56">
        <v>0.95443</v>
      </c>
      <c r="O56">
        <v>0.99121000000000004</v>
      </c>
      <c r="P56">
        <v>0.3</v>
      </c>
      <c r="Q56">
        <v>77</v>
      </c>
      <c r="R56">
        <v>1</v>
      </c>
      <c r="S56">
        <v>80</v>
      </c>
      <c r="T56">
        <v>77</v>
      </c>
    </row>
    <row r="57" spans="1:20" x14ac:dyDescent="0.2">
      <c r="A57" t="s">
        <v>182</v>
      </c>
      <c r="B57" t="s">
        <v>183</v>
      </c>
      <c r="C57" t="s">
        <v>46</v>
      </c>
      <c r="D57" t="s">
        <v>184</v>
      </c>
      <c r="E57">
        <v>1</v>
      </c>
      <c r="F57" t="s">
        <v>450</v>
      </c>
      <c r="G57">
        <v>0.94608999999999999</v>
      </c>
      <c r="H57">
        <v>0.95964000000000005</v>
      </c>
      <c r="I57">
        <v>0.86</v>
      </c>
      <c r="J57">
        <v>67</v>
      </c>
      <c r="K57">
        <v>1</v>
      </c>
      <c r="L57">
        <v>68</v>
      </c>
      <c r="M57">
        <v>67</v>
      </c>
      <c r="N57">
        <v>0.95587999999999995</v>
      </c>
      <c r="O57">
        <v>0.96958</v>
      </c>
      <c r="P57">
        <v>0.52</v>
      </c>
      <c r="Q57">
        <v>67</v>
      </c>
      <c r="R57">
        <v>1</v>
      </c>
      <c r="S57">
        <v>68</v>
      </c>
      <c r="T57">
        <v>67</v>
      </c>
    </row>
    <row r="58" spans="1:20" x14ac:dyDescent="0.2">
      <c r="A58" t="s">
        <v>186</v>
      </c>
      <c r="B58" t="s">
        <v>14</v>
      </c>
      <c r="C58" t="s">
        <v>169</v>
      </c>
      <c r="D58" t="s">
        <v>187</v>
      </c>
      <c r="E58">
        <v>1</v>
      </c>
      <c r="F58" t="s">
        <v>451</v>
      </c>
      <c r="G58">
        <v>0.50429999999999997</v>
      </c>
      <c r="H58">
        <v>0.56074000000000002</v>
      </c>
      <c r="I58">
        <v>3.93</v>
      </c>
      <c r="J58">
        <v>118</v>
      </c>
      <c r="K58">
        <v>0.66100000000000003</v>
      </c>
      <c r="L58">
        <v>157</v>
      </c>
      <c r="M58">
        <v>136</v>
      </c>
      <c r="N58">
        <v>0.67095000000000005</v>
      </c>
      <c r="O58">
        <v>0.75978000000000001</v>
      </c>
      <c r="P58">
        <v>3.34</v>
      </c>
      <c r="Q58">
        <v>132</v>
      </c>
      <c r="R58">
        <v>0.81799999999999995</v>
      </c>
      <c r="S58">
        <v>157</v>
      </c>
      <c r="T58">
        <v>136</v>
      </c>
    </row>
    <row r="59" spans="1:20" x14ac:dyDescent="0.2">
      <c r="A59" t="s">
        <v>189</v>
      </c>
      <c r="B59" t="s">
        <v>14</v>
      </c>
      <c r="C59" t="s">
        <v>190</v>
      </c>
      <c r="D59" t="s">
        <v>191</v>
      </c>
      <c r="E59">
        <v>1</v>
      </c>
      <c r="F59" t="s">
        <v>452</v>
      </c>
      <c r="G59">
        <v>0.30736000000000002</v>
      </c>
      <c r="H59">
        <v>0.30736000000000002</v>
      </c>
      <c r="I59">
        <v>4.57</v>
      </c>
      <c r="J59">
        <v>75</v>
      </c>
      <c r="K59">
        <v>9.2999999999999999E-2</v>
      </c>
      <c r="L59">
        <v>158</v>
      </c>
      <c r="M59">
        <v>158</v>
      </c>
      <c r="N59">
        <v>0.90546000000000004</v>
      </c>
      <c r="O59">
        <v>0.90546000000000004</v>
      </c>
      <c r="P59">
        <v>1.82</v>
      </c>
      <c r="Q59">
        <v>157</v>
      </c>
      <c r="R59">
        <v>0.98099999999999998</v>
      </c>
      <c r="S59">
        <v>158</v>
      </c>
      <c r="T59">
        <v>158</v>
      </c>
    </row>
    <row r="60" spans="1:20" x14ac:dyDescent="0.2">
      <c r="A60" t="s">
        <v>193</v>
      </c>
      <c r="B60" t="s">
        <v>14</v>
      </c>
      <c r="C60" t="s">
        <v>194</v>
      </c>
      <c r="D60" t="s">
        <v>140</v>
      </c>
      <c r="E60">
        <v>1</v>
      </c>
      <c r="F60" t="s">
        <v>453</v>
      </c>
      <c r="G60">
        <v>0.30260999999999999</v>
      </c>
      <c r="H60">
        <v>0.30260999999999999</v>
      </c>
      <c r="I60">
        <v>4.87</v>
      </c>
      <c r="J60">
        <v>75</v>
      </c>
      <c r="K60">
        <v>0.04</v>
      </c>
      <c r="L60">
        <v>143</v>
      </c>
      <c r="M60">
        <v>143</v>
      </c>
      <c r="N60">
        <v>0.86395</v>
      </c>
      <c r="O60">
        <v>0.86395</v>
      </c>
      <c r="P60">
        <v>2.1</v>
      </c>
      <c r="Q60">
        <v>142</v>
      </c>
      <c r="R60">
        <v>1</v>
      </c>
      <c r="S60">
        <v>143</v>
      </c>
      <c r="T60">
        <v>143</v>
      </c>
    </row>
    <row r="61" spans="1:20" x14ac:dyDescent="0.2">
      <c r="A61" t="s">
        <v>196</v>
      </c>
      <c r="B61" t="s">
        <v>197</v>
      </c>
      <c r="C61" t="s">
        <v>148</v>
      </c>
      <c r="D61" t="s">
        <v>133</v>
      </c>
      <c r="E61">
        <v>0</v>
      </c>
      <c r="F61" t="s">
        <v>454</v>
      </c>
    </row>
    <row r="62" spans="1:20" x14ac:dyDescent="0.2">
      <c r="A62" t="s">
        <v>199</v>
      </c>
      <c r="B62" t="s">
        <v>200</v>
      </c>
      <c r="C62" t="s">
        <v>152</v>
      </c>
      <c r="D62" t="s">
        <v>201</v>
      </c>
      <c r="E62">
        <v>1</v>
      </c>
      <c r="F62" t="s">
        <v>454</v>
      </c>
      <c r="G62">
        <v>0.38696999999999998</v>
      </c>
      <c r="H62">
        <v>0.42946000000000001</v>
      </c>
      <c r="I62">
        <v>3.7</v>
      </c>
      <c r="J62">
        <v>57</v>
      </c>
      <c r="K62">
        <v>0.70199999999999996</v>
      </c>
      <c r="L62">
        <v>93</v>
      </c>
      <c r="M62">
        <v>80</v>
      </c>
      <c r="N62">
        <v>0.84718000000000004</v>
      </c>
      <c r="O62">
        <v>0.98187000000000002</v>
      </c>
      <c r="P62">
        <v>0.44</v>
      </c>
      <c r="Q62">
        <v>80</v>
      </c>
      <c r="R62">
        <v>1</v>
      </c>
      <c r="S62">
        <v>93</v>
      </c>
      <c r="T62">
        <v>80</v>
      </c>
    </row>
    <row r="63" spans="1:20" x14ac:dyDescent="0.2">
      <c r="A63" t="s">
        <v>202</v>
      </c>
      <c r="B63" t="s">
        <v>14</v>
      </c>
      <c r="C63" t="s">
        <v>203</v>
      </c>
      <c r="D63" t="s">
        <v>204</v>
      </c>
      <c r="E63">
        <v>1</v>
      </c>
      <c r="F63" t="s">
        <v>455</v>
      </c>
      <c r="G63">
        <v>0.28098000000000001</v>
      </c>
      <c r="H63">
        <v>0.28249999999999997</v>
      </c>
      <c r="I63">
        <v>4.76</v>
      </c>
      <c r="J63">
        <v>61</v>
      </c>
      <c r="K63">
        <v>0.47499999999999998</v>
      </c>
      <c r="L63">
        <v>125</v>
      </c>
      <c r="M63">
        <v>124</v>
      </c>
      <c r="N63">
        <v>0.37010999999999999</v>
      </c>
      <c r="O63">
        <v>0.37217</v>
      </c>
      <c r="P63">
        <v>4.3</v>
      </c>
      <c r="Q63">
        <v>75</v>
      </c>
      <c r="R63">
        <v>0.08</v>
      </c>
      <c r="S63">
        <v>125</v>
      </c>
      <c r="T63">
        <v>124</v>
      </c>
    </row>
    <row r="64" spans="1:20" x14ac:dyDescent="0.2">
      <c r="A64" t="s">
        <v>206</v>
      </c>
      <c r="B64" t="s">
        <v>154</v>
      </c>
      <c r="C64" t="s">
        <v>207</v>
      </c>
      <c r="D64" t="s">
        <v>208</v>
      </c>
      <c r="E64">
        <v>0</v>
      </c>
      <c r="F64" t="s">
        <v>456</v>
      </c>
    </row>
    <row r="65" spans="1:20" x14ac:dyDescent="0.2">
      <c r="A65" t="s">
        <v>210</v>
      </c>
      <c r="B65" t="s">
        <v>136</v>
      </c>
      <c r="C65" t="s">
        <v>152</v>
      </c>
      <c r="D65" t="s">
        <v>38</v>
      </c>
      <c r="E65">
        <v>1</v>
      </c>
      <c r="F65" t="s">
        <v>456</v>
      </c>
      <c r="G65">
        <v>0.25747999999999999</v>
      </c>
      <c r="H65">
        <v>0.2969</v>
      </c>
      <c r="I65">
        <v>3.55</v>
      </c>
      <c r="J65">
        <v>40</v>
      </c>
      <c r="K65">
        <v>0.05</v>
      </c>
      <c r="L65">
        <v>94</v>
      </c>
      <c r="M65">
        <v>74</v>
      </c>
      <c r="N65">
        <v>0.85321000000000002</v>
      </c>
      <c r="O65">
        <v>0.98821000000000003</v>
      </c>
      <c r="P65">
        <v>0.35</v>
      </c>
      <c r="Q65">
        <v>81</v>
      </c>
      <c r="R65">
        <v>1</v>
      </c>
      <c r="S65">
        <v>94</v>
      </c>
      <c r="T65">
        <v>81</v>
      </c>
    </row>
    <row r="66" spans="1:20" x14ac:dyDescent="0.2">
      <c r="A66" t="s">
        <v>211</v>
      </c>
      <c r="B66" t="s">
        <v>14</v>
      </c>
      <c r="C66" t="s">
        <v>212</v>
      </c>
      <c r="D66" t="s">
        <v>213</v>
      </c>
      <c r="E66">
        <v>1</v>
      </c>
      <c r="F66" t="s">
        <v>457</v>
      </c>
      <c r="G66">
        <v>0.48496</v>
      </c>
      <c r="H66">
        <v>0.48887999999999998</v>
      </c>
      <c r="I66">
        <v>2.78</v>
      </c>
      <c r="J66">
        <v>45</v>
      </c>
      <c r="K66">
        <v>0.64400000000000002</v>
      </c>
      <c r="L66">
        <v>50</v>
      </c>
      <c r="M66">
        <v>49</v>
      </c>
      <c r="N66">
        <v>0.68618000000000001</v>
      </c>
      <c r="O66">
        <v>0.69479999999999997</v>
      </c>
      <c r="P66">
        <v>1.72</v>
      </c>
      <c r="Q66">
        <v>48</v>
      </c>
      <c r="R66">
        <v>0.95799999999999996</v>
      </c>
      <c r="S66">
        <v>50</v>
      </c>
      <c r="T66">
        <v>49</v>
      </c>
    </row>
    <row r="67" spans="1:20" x14ac:dyDescent="0.2">
      <c r="A67" t="s">
        <v>215</v>
      </c>
      <c r="B67" t="s">
        <v>14</v>
      </c>
      <c r="C67" t="s">
        <v>216</v>
      </c>
      <c r="D67" t="s">
        <v>217</v>
      </c>
      <c r="E67">
        <v>1</v>
      </c>
      <c r="F67" t="s">
        <v>458</v>
      </c>
      <c r="G67">
        <v>0.28622999999999998</v>
      </c>
      <c r="H67">
        <v>0.28788999999999998</v>
      </c>
      <c r="I67">
        <v>4.7300000000000004</v>
      </c>
      <c r="J67">
        <v>58</v>
      </c>
      <c r="K67">
        <v>5.1999999999999998E-2</v>
      </c>
      <c r="L67">
        <v>114</v>
      </c>
      <c r="M67">
        <v>113</v>
      </c>
      <c r="N67">
        <v>0.31646000000000002</v>
      </c>
      <c r="O67">
        <v>0.31834000000000001</v>
      </c>
      <c r="P67">
        <v>4.79</v>
      </c>
      <c r="Q67">
        <v>64</v>
      </c>
      <c r="R67">
        <v>0.42199999999999999</v>
      </c>
      <c r="S67">
        <v>114</v>
      </c>
      <c r="T67">
        <v>113</v>
      </c>
    </row>
    <row r="68" spans="1:20" x14ac:dyDescent="0.2">
      <c r="A68" t="s">
        <v>219</v>
      </c>
      <c r="B68" t="s">
        <v>14</v>
      </c>
      <c r="C68" t="s">
        <v>220</v>
      </c>
      <c r="D68" t="s">
        <v>221</v>
      </c>
      <c r="E68">
        <v>0</v>
      </c>
      <c r="F68" t="s">
        <v>459</v>
      </c>
    </row>
    <row r="69" spans="1:20" x14ac:dyDescent="0.2">
      <c r="A69" t="s">
        <v>223</v>
      </c>
      <c r="B69" t="s">
        <v>19</v>
      </c>
      <c r="C69" t="s">
        <v>224</v>
      </c>
      <c r="D69" t="s">
        <v>225</v>
      </c>
      <c r="E69">
        <v>1</v>
      </c>
      <c r="F69" t="s">
        <v>459</v>
      </c>
      <c r="G69">
        <v>0.35893999999999998</v>
      </c>
      <c r="H69">
        <v>0.36326000000000003</v>
      </c>
      <c r="I69">
        <v>4.16</v>
      </c>
      <c r="J69">
        <v>62</v>
      </c>
      <c r="K69">
        <v>6.5000000000000002E-2</v>
      </c>
      <c r="L69">
        <v>93</v>
      </c>
      <c r="M69">
        <v>91</v>
      </c>
      <c r="N69">
        <v>0.89009000000000005</v>
      </c>
      <c r="O69">
        <v>0.90851999999999999</v>
      </c>
      <c r="P69">
        <v>1.08</v>
      </c>
      <c r="Q69">
        <v>88</v>
      </c>
      <c r="R69">
        <v>0.92</v>
      </c>
      <c r="S69">
        <v>93</v>
      </c>
      <c r="T69">
        <v>91</v>
      </c>
    </row>
    <row r="70" spans="1:20" x14ac:dyDescent="0.2">
      <c r="A70" t="s">
        <v>226</v>
      </c>
      <c r="B70" t="s">
        <v>82</v>
      </c>
      <c r="C70" t="s">
        <v>227</v>
      </c>
      <c r="D70" t="s">
        <v>221</v>
      </c>
      <c r="E70">
        <v>0</v>
      </c>
      <c r="F70" t="s">
        <v>460</v>
      </c>
    </row>
    <row r="71" spans="1:20" x14ac:dyDescent="0.2">
      <c r="A71" t="s">
        <v>229</v>
      </c>
      <c r="B71" t="s">
        <v>230</v>
      </c>
      <c r="C71" t="s">
        <v>231</v>
      </c>
      <c r="D71" t="s">
        <v>232</v>
      </c>
      <c r="E71">
        <v>1</v>
      </c>
      <c r="F71" t="s">
        <v>460</v>
      </c>
      <c r="G71">
        <v>0.30623</v>
      </c>
      <c r="H71">
        <v>0.31320999999999999</v>
      </c>
      <c r="I71">
        <v>4.5999999999999996</v>
      </c>
      <c r="J71">
        <v>58</v>
      </c>
      <c r="K71">
        <v>5.1999999999999998E-2</v>
      </c>
      <c r="L71">
        <v>95</v>
      </c>
      <c r="M71">
        <v>91</v>
      </c>
      <c r="N71">
        <v>0.93752000000000002</v>
      </c>
      <c r="O71">
        <v>0.97763999999999995</v>
      </c>
      <c r="P71">
        <v>0.53</v>
      </c>
      <c r="Q71">
        <v>91</v>
      </c>
      <c r="R71">
        <v>1</v>
      </c>
      <c r="S71">
        <v>95</v>
      </c>
      <c r="T71">
        <v>91</v>
      </c>
    </row>
    <row r="72" spans="1:20" x14ac:dyDescent="0.2">
      <c r="A72" t="s">
        <v>233</v>
      </c>
      <c r="B72" t="s">
        <v>14</v>
      </c>
      <c r="C72" t="s">
        <v>234</v>
      </c>
      <c r="D72" t="s">
        <v>208</v>
      </c>
      <c r="E72">
        <v>0</v>
      </c>
      <c r="F72" t="s">
        <v>461</v>
      </c>
    </row>
    <row r="73" spans="1:20" x14ac:dyDescent="0.2">
      <c r="A73" t="s">
        <v>236</v>
      </c>
      <c r="B73" t="s">
        <v>19</v>
      </c>
      <c r="C73" t="s">
        <v>237</v>
      </c>
      <c r="D73" t="s">
        <v>238</v>
      </c>
      <c r="E73">
        <v>1</v>
      </c>
      <c r="F73" t="s">
        <v>461</v>
      </c>
      <c r="G73">
        <v>0.42559000000000002</v>
      </c>
      <c r="H73">
        <v>0.69559000000000004</v>
      </c>
      <c r="I73">
        <v>1.76</v>
      </c>
      <c r="J73">
        <v>25</v>
      </c>
      <c r="K73">
        <v>1</v>
      </c>
      <c r="L73">
        <v>51</v>
      </c>
      <c r="M73">
        <v>27</v>
      </c>
      <c r="N73">
        <v>0.37863000000000002</v>
      </c>
      <c r="O73">
        <v>0.60834999999999995</v>
      </c>
      <c r="P73">
        <v>1.54</v>
      </c>
      <c r="Q73">
        <v>22</v>
      </c>
      <c r="R73">
        <v>0.95499999999999996</v>
      </c>
      <c r="S73">
        <v>51</v>
      </c>
      <c r="T73">
        <v>27</v>
      </c>
    </row>
    <row r="74" spans="1:20" x14ac:dyDescent="0.2">
      <c r="A74" t="s">
        <v>239</v>
      </c>
      <c r="B74" t="s">
        <v>14</v>
      </c>
      <c r="C74" t="s">
        <v>240</v>
      </c>
      <c r="D74" t="s">
        <v>241</v>
      </c>
      <c r="E74">
        <v>1</v>
      </c>
      <c r="F74" t="s">
        <v>462</v>
      </c>
      <c r="G74">
        <v>0.27176</v>
      </c>
      <c r="H74">
        <v>0.32180999999999998</v>
      </c>
      <c r="I74">
        <v>6.07</v>
      </c>
      <c r="J74">
        <v>122</v>
      </c>
      <c r="K74">
        <v>7.3999999999999996E-2</v>
      </c>
      <c r="L74">
        <v>267</v>
      </c>
      <c r="M74">
        <v>209</v>
      </c>
      <c r="N74">
        <v>0.75583</v>
      </c>
      <c r="O74">
        <v>0.95801999999999998</v>
      </c>
      <c r="P74">
        <v>1.21</v>
      </c>
      <c r="Q74">
        <v>209</v>
      </c>
      <c r="R74">
        <v>0.99</v>
      </c>
      <c r="S74">
        <v>267</v>
      </c>
      <c r="T74">
        <v>209</v>
      </c>
    </row>
    <row r="75" spans="1:20" x14ac:dyDescent="0.2">
      <c r="A75" t="s">
        <v>243</v>
      </c>
      <c r="B75" t="s">
        <v>26</v>
      </c>
      <c r="C75" t="s">
        <v>244</v>
      </c>
      <c r="D75" t="s">
        <v>241</v>
      </c>
      <c r="E75">
        <v>1</v>
      </c>
      <c r="F75" t="s">
        <v>462</v>
      </c>
      <c r="G75">
        <v>0.35813</v>
      </c>
      <c r="H75">
        <v>0.35813</v>
      </c>
      <c r="I75">
        <v>4.88</v>
      </c>
      <c r="J75">
        <v>104</v>
      </c>
      <c r="K75">
        <v>0.45200000000000001</v>
      </c>
      <c r="L75">
        <v>185</v>
      </c>
      <c r="M75">
        <v>185</v>
      </c>
      <c r="N75">
        <v>0.36558000000000002</v>
      </c>
      <c r="O75">
        <v>0.36558000000000002</v>
      </c>
      <c r="P75">
        <v>5.28</v>
      </c>
      <c r="Q75">
        <v>107</v>
      </c>
      <c r="R75">
        <v>0.53300000000000003</v>
      </c>
      <c r="S75">
        <v>185</v>
      </c>
      <c r="T75">
        <v>185</v>
      </c>
    </row>
    <row r="76" spans="1:20" x14ac:dyDescent="0.2">
      <c r="A76" t="s">
        <v>245</v>
      </c>
      <c r="B76" t="s">
        <v>246</v>
      </c>
      <c r="C76" t="s">
        <v>247</v>
      </c>
      <c r="D76" t="s">
        <v>241</v>
      </c>
      <c r="E76">
        <v>0</v>
      </c>
      <c r="F76" t="s">
        <v>462</v>
      </c>
    </row>
    <row r="77" spans="1:20" x14ac:dyDescent="0.2">
      <c r="A77" t="s">
        <v>248</v>
      </c>
      <c r="B77" t="s">
        <v>249</v>
      </c>
      <c r="C77" t="s">
        <v>250</v>
      </c>
      <c r="D77" t="s">
        <v>251</v>
      </c>
      <c r="E77">
        <v>0</v>
      </c>
      <c r="F77" t="s">
        <v>463</v>
      </c>
    </row>
    <row r="78" spans="1:20" x14ac:dyDescent="0.2">
      <c r="A78" t="s">
        <v>253</v>
      </c>
      <c r="B78" t="s">
        <v>254</v>
      </c>
      <c r="C78" t="s">
        <v>255</v>
      </c>
      <c r="D78" t="s">
        <v>217</v>
      </c>
      <c r="E78">
        <v>1</v>
      </c>
      <c r="F78" t="s">
        <v>463</v>
      </c>
      <c r="G78">
        <v>0.48585</v>
      </c>
      <c r="H78">
        <v>0.48843999999999999</v>
      </c>
      <c r="I78">
        <v>6.13</v>
      </c>
      <c r="J78">
        <v>315</v>
      </c>
      <c r="K78">
        <v>0.41</v>
      </c>
      <c r="L78">
        <v>434</v>
      </c>
      <c r="M78">
        <v>431</v>
      </c>
      <c r="N78">
        <v>0.88153999999999999</v>
      </c>
      <c r="O78">
        <v>0.88719000000000003</v>
      </c>
      <c r="P78">
        <v>2.88</v>
      </c>
      <c r="Q78">
        <v>428</v>
      </c>
      <c r="R78">
        <v>0.96</v>
      </c>
      <c r="S78">
        <v>434</v>
      </c>
      <c r="T78">
        <v>431</v>
      </c>
    </row>
    <row r="79" spans="1:20" x14ac:dyDescent="0.2">
      <c r="A79" t="s">
        <v>256</v>
      </c>
      <c r="B79" t="s">
        <v>26</v>
      </c>
      <c r="C79" t="s">
        <v>257</v>
      </c>
      <c r="D79" t="s">
        <v>217</v>
      </c>
      <c r="E79">
        <v>1</v>
      </c>
      <c r="F79" t="s">
        <v>464</v>
      </c>
      <c r="G79">
        <v>0.52022000000000002</v>
      </c>
      <c r="H79">
        <v>0.78097000000000005</v>
      </c>
      <c r="I79">
        <v>3.83</v>
      </c>
      <c r="J79">
        <v>350</v>
      </c>
      <c r="K79">
        <v>0.64600000000000002</v>
      </c>
      <c r="L79">
        <v>575</v>
      </c>
      <c r="M79">
        <v>362</v>
      </c>
      <c r="N79">
        <v>0.59677000000000002</v>
      </c>
      <c r="O79">
        <v>0.93171000000000004</v>
      </c>
      <c r="P79">
        <v>2.11</v>
      </c>
      <c r="Q79">
        <v>360</v>
      </c>
      <c r="R79">
        <v>0.93899999999999995</v>
      </c>
      <c r="S79">
        <v>575</v>
      </c>
      <c r="T79">
        <v>362</v>
      </c>
    </row>
    <row r="80" spans="1:20" x14ac:dyDescent="0.2">
      <c r="A80" t="s">
        <v>259</v>
      </c>
      <c r="B80" t="s">
        <v>260</v>
      </c>
      <c r="C80" t="s">
        <v>261</v>
      </c>
      <c r="D80" t="s">
        <v>251</v>
      </c>
      <c r="E80">
        <v>0</v>
      </c>
      <c r="F80" t="s">
        <v>465</v>
      </c>
    </row>
    <row r="81" spans="1:20" x14ac:dyDescent="0.2">
      <c r="A81" t="s">
        <v>263</v>
      </c>
      <c r="B81" t="s">
        <v>264</v>
      </c>
      <c r="C81" t="s">
        <v>257</v>
      </c>
      <c r="D81" t="s">
        <v>217</v>
      </c>
      <c r="E81">
        <v>1</v>
      </c>
      <c r="F81" t="s">
        <v>465</v>
      </c>
      <c r="G81">
        <v>0.54527999999999999</v>
      </c>
      <c r="H81">
        <v>0.75568000000000002</v>
      </c>
      <c r="I81">
        <v>4.37</v>
      </c>
      <c r="J81">
        <v>379</v>
      </c>
      <c r="K81">
        <v>0.76300000000000001</v>
      </c>
      <c r="L81">
        <v>575</v>
      </c>
      <c r="M81">
        <v>394</v>
      </c>
      <c r="N81">
        <v>0.63166</v>
      </c>
      <c r="O81">
        <v>0.90281</v>
      </c>
      <c r="P81">
        <v>2.4500000000000002</v>
      </c>
      <c r="Q81">
        <v>389</v>
      </c>
      <c r="R81">
        <v>0.95899999999999996</v>
      </c>
      <c r="S81">
        <v>575</v>
      </c>
      <c r="T81">
        <v>394</v>
      </c>
    </row>
    <row r="82" spans="1:20" x14ac:dyDescent="0.2">
      <c r="A82" t="s">
        <v>265</v>
      </c>
      <c r="B82" t="s">
        <v>14</v>
      </c>
      <c r="C82" t="s">
        <v>261</v>
      </c>
      <c r="D82" t="s">
        <v>251</v>
      </c>
      <c r="E82">
        <v>0</v>
      </c>
      <c r="F82" t="s">
        <v>466</v>
      </c>
    </row>
    <row r="83" spans="1:20" x14ac:dyDescent="0.2">
      <c r="A83" t="s">
        <v>267</v>
      </c>
      <c r="B83" t="s">
        <v>19</v>
      </c>
      <c r="C83" t="s">
        <v>257</v>
      </c>
      <c r="D83" t="s">
        <v>217</v>
      </c>
      <c r="E83">
        <v>1</v>
      </c>
      <c r="F83" t="s">
        <v>466</v>
      </c>
      <c r="G83">
        <v>0.38114999999999999</v>
      </c>
      <c r="H83">
        <v>0.42748999999999998</v>
      </c>
      <c r="I83">
        <v>6.1</v>
      </c>
      <c r="J83">
        <v>250</v>
      </c>
      <c r="K83">
        <v>0.46</v>
      </c>
      <c r="L83">
        <v>441</v>
      </c>
      <c r="M83">
        <v>379</v>
      </c>
      <c r="N83">
        <v>0.79276000000000002</v>
      </c>
      <c r="O83">
        <v>0.91452</v>
      </c>
      <c r="P83">
        <v>2.48</v>
      </c>
      <c r="Q83">
        <v>379</v>
      </c>
      <c r="R83">
        <v>0.97899999999999998</v>
      </c>
      <c r="S83">
        <v>441</v>
      </c>
      <c r="T83">
        <v>379</v>
      </c>
    </row>
    <row r="84" spans="1:20" x14ac:dyDescent="0.2">
      <c r="A84" t="s">
        <v>268</v>
      </c>
      <c r="B84" t="s">
        <v>14</v>
      </c>
      <c r="C84" t="s">
        <v>269</v>
      </c>
      <c r="D84" t="s">
        <v>238</v>
      </c>
      <c r="E84">
        <v>1</v>
      </c>
      <c r="F84" t="s">
        <v>467</v>
      </c>
      <c r="G84">
        <v>0.75200999999999996</v>
      </c>
      <c r="H84">
        <v>0.75200999999999996</v>
      </c>
      <c r="I84">
        <v>1.76</v>
      </c>
      <c r="J84">
        <v>56</v>
      </c>
      <c r="K84">
        <v>1</v>
      </c>
      <c r="L84">
        <v>60</v>
      </c>
      <c r="M84">
        <v>60</v>
      </c>
      <c r="N84">
        <v>0.83352999999999999</v>
      </c>
      <c r="O84">
        <v>0.83352999999999999</v>
      </c>
      <c r="P84">
        <v>1.73</v>
      </c>
      <c r="Q84">
        <v>59</v>
      </c>
      <c r="R84">
        <v>1</v>
      </c>
      <c r="S84">
        <v>60</v>
      </c>
      <c r="T84">
        <v>60</v>
      </c>
    </row>
    <row r="85" spans="1:20" x14ac:dyDescent="0.2">
      <c r="A85" t="s">
        <v>271</v>
      </c>
      <c r="B85" t="s">
        <v>14</v>
      </c>
      <c r="C85" t="s">
        <v>269</v>
      </c>
      <c r="D85" t="s">
        <v>238</v>
      </c>
      <c r="E85">
        <v>1</v>
      </c>
      <c r="F85" t="s">
        <v>467</v>
      </c>
      <c r="G85">
        <v>0.61499999999999999</v>
      </c>
      <c r="H85">
        <v>0.61499999999999999</v>
      </c>
      <c r="I85">
        <v>2.2200000000000002</v>
      </c>
      <c r="J85">
        <v>67</v>
      </c>
      <c r="K85">
        <v>0.97</v>
      </c>
      <c r="L85">
        <v>89</v>
      </c>
      <c r="M85">
        <v>89</v>
      </c>
      <c r="N85">
        <v>0.78783999999999998</v>
      </c>
      <c r="O85">
        <v>0.78783999999999998</v>
      </c>
      <c r="P85">
        <v>1.59</v>
      </c>
      <c r="Q85">
        <v>79</v>
      </c>
      <c r="R85">
        <v>1</v>
      </c>
      <c r="S85">
        <v>89</v>
      </c>
      <c r="T85">
        <v>89</v>
      </c>
    </row>
    <row r="86" spans="1:20" x14ac:dyDescent="0.2">
      <c r="A86" t="s">
        <v>272</v>
      </c>
      <c r="B86" t="s">
        <v>14</v>
      </c>
      <c r="C86" t="s">
        <v>269</v>
      </c>
      <c r="D86" t="s">
        <v>238</v>
      </c>
      <c r="E86">
        <v>1</v>
      </c>
      <c r="F86" t="s">
        <v>467</v>
      </c>
      <c r="G86">
        <v>0.31375999999999998</v>
      </c>
      <c r="H86">
        <v>0.32385000000000003</v>
      </c>
      <c r="I86">
        <v>3.43</v>
      </c>
      <c r="J86">
        <v>44</v>
      </c>
      <c r="K86">
        <v>0.61399999999999999</v>
      </c>
      <c r="L86">
        <v>95</v>
      </c>
      <c r="M86">
        <v>91</v>
      </c>
      <c r="N86">
        <v>0.65578999999999998</v>
      </c>
      <c r="O86">
        <v>0.68037000000000003</v>
      </c>
      <c r="P86">
        <v>2.0699999999999998</v>
      </c>
      <c r="Q86">
        <v>74</v>
      </c>
      <c r="R86">
        <v>0.94599999999999995</v>
      </c>
      <c r="S86">
        <v>95</v>
      </c>
      <c r="T86">
        <v>91</v>
      </c>
    </row>
    <row r="87" spans="1:20" x14ac:dyDescent="0.2">
      <c r="A87" t="s">
        <v>273</v>
      </c>
      <c r="B87" t="s">
        <v>82</v>
      </c>
      <c r="C87" t="s">
        <v>274</v>
      </c>
      <c r="D87" t="s">
        <v>275</v>
      </c>
      <c r="E87">
        <v>1</v>
      </c>
      <c r="F87" t="s">
        <v>468</v>
      </c>
      <c r="G87">
        <v>0.74278999999999995</v>
      </c>
      <c r="H87">
        <v>0.94623000000000002</v>
      </c>
      <c r="I87">
        <v>1.39</v>
      </c>
      <c r="J87">
        <v>112</v>
      </c>
      <c r="K87">
        <v>0.85699999999999998</v>
      </c>
      <c r="L87">
        <v>144</v>
      </c>
      <c r="M87">
        <v>112</v>
      </c>
      <c r="N87">
        <v>0.74214000000000002</v>
      </c>
      <c r="O87">
        <v>0.94513000000000003</v>
      </c>
      <c r="P87">
        <v>1.36</v>
      </c>
      <c r="Q87">
        <v>112</v>
      </c>
      <c r="R87">
        <v>0.92</v>
      </c>
      <c r="S87">
        <v>144</v>
      </c>
      <c r="T87">
        <v>112</v>
      </c>
    </row>
    <row r="88" spans="1:20" x14ac:dyDescent="0.2">
      <c r="A88" t="s">
        <v>277</v>
      </c>
      <c r="B88" t="s">
        <v>14</v>
      </c>
      <c r="C88" t="s">
        <v>278</v>
      </c>
      <c r="D88" t="s">
        <v>279</v>
      </c>
      <c r="E88">
        <v>1</v>
      </c>
      <c r="F88" t="s">
        <v>469</v>
      </c>
      <c r="G88">
        <v>0.42716999999999999</v>
      </c>
      <c r="H88">
        <v>0.66642999999999997</v>
      </c>
      <c r="I88">
        <v>2.83</v>
      </c>
      <c r="J88">
        <v>83</v>
      </c>
      <c r="K88">
        <v>0.81899999999999995</v>
      </c>
      <c r="L88">
        <v>155</v>
      </c>
      <c r="M88">
        <v>89</v>
      </c>
      <c r="N88">
        <v>0.37636999999999998</v>
      </c>
      <c r="O88">
        <v>0.58237000000000005</v>
      </c>
      <c r="P88">
        <v>2.87</v>
      </c>
      <c r="Q88">
        <v>74</v>
      </c>
      <c r="R88">
        <v>0.85099999999999998</v>
      </c>
      <c r="S88">
        <v>155</v>
      </c>
      <c r="T88">
        <v>89</v>
      </c>
    </row>
    <row r="89" spans="1:20" x14ac:dyDescent="0.2">
      <c r="A89" t="s">
        <v>281</v>
      </c>
      <c r="B89" t="s">
        <v>35</v>
      </c>
      <c r="C89" t="s">
        <v>282</v>
      </c>
      <c r="D89" t="s">
        <v>59</v>
      </c>
      <c r="E89">
        <v>1</v>
      </c>
      <c r="F89" t="s">
        <v>470</v>
      </c>
    </row>
    <row r="90" spans="1:20" x14ac:dyDescent="0.2">
      <c r="A90" t="s">
        <v>284</v>
      </c>
      <c r="B90" t="s">
        <v>26</v>
      </c>
      <c r="C90" t="s">
        <v>285</v>
      </c>
      <c r="D90" t="s">
        <v>59</v>
      </c>
      <c r="E90">
        <v>1</v>
      </c>
      <c r="F90" t="s">
        <v>470</v>
      </c>
    </row>
    <row r="91" spans="1:20" x14ac:dyDescent="0.2">
      <c r="A91" t="s">
        <v>286</v>
      </c>
      <c r="B91" t="s">
        <v>14</v>
      </c>
      <c r="C91" t="s">
        <v>287</v>
      </c>
      <c r="D91" t="s">
        <v>241</v>
      </c>
      <c r="E91">
        <v>1</v>
      </c>
      <c r="F91" t="s">
        <v>471</v>
      </c>
      <c r="G91">
        <v>0.26844000000000001</v>
      </c>
      <c r="H91">
        <v>0.27837000000000001</v>
      </c>
      <c r="I91">
        <v>4.3899999999999997</v>
      </c>
      <c r="J91">
        <v>48</v>
      </c>
      <c r="K91">
        <v>0.104</v>
      </c>
      <c r="L91">
        <v>95</v>
      </c>
      <c r="M91">
        <v>89</v>
      </c>
      <c r="N91">
        <v>0.74892000000000003</v>
      </c>
      <c r="O91">
        <v>0.79247999999999996</v>
      </c>
      <c r="P91">
        <v>1.99</v>
      </c>
      <c r="Q91">
        <v>84</v>
      </c>
      <c r="R91">
        <v>0.83299999999999996</v>
      </c>
      <c r="S91">
        <v>95</v>
      </c>
      <c r="T91">
        <v>89</v>
      </c>
    </row>
    <row r="92" spans="1:20" x14ac:dyDescent="0.2">
      <c r="A92" t="s">
        <v>289</v>
      </c>
      <c r="B92" t="s">
        <v>26</v>
      </c>
      <c r="C92" t="s">
        <v>290</v>
      </c>
      <c r="D92" t="s">
        <v>241</v>
      </c>
      <c r="E92">
        <v>1</v>
      </c>
      <c r="F92" t="s">
        <v>471</v>
      </c>
      <c r="G92">
        <v>0.37218000000000001</v>
      </c>
      <c r="H92">
        <v>0.37369000000000002</v>
      </c>
      <c r="I92">
        <v>5.3</v>
      </c>
      <c r="J92">
        <v>109</v>
      </c>
      <c r="K92">
        <v>0.67900000000000005</v>
      </c>
      <c r="L92">
        <v>170</v>
      </c>
      <c r="M92">
        <v>169</v>
      </c>
      <c r="N92">
        <v>0.97770000000000001</v>
      </c>
      <c r="O92">
        <v>0.98340000000000005</v>
      </c>
      <c r="P92">
        <v>0.65</v>
      </c>
      <c r="Q92">
        <v>169</v>
      </c>
      <c r="R92">
        <v>1</v>
      </c>
      <c r="S92">
        <v>170</v>
      </c>
      <c r="T92">
        <v>169</v>
      </c>
    </row>
    <row r="93" spans="1:20" x14ac:dyDescent="0.2">
      <c r="A93" t="s">
        <v>291</v>
      </c>
      <c r="B93" t="s">
        <v>68</v>
      </c>
      <c r="C93" t="s">
        <v>290</v>
      </c>
      <c r="D93" t="s">
        <v>241</v>
      </c>
      <c r="E93">
        <v>0</v>
      </c>
      <c r="F93" t="s">
        <v>471</v>
      </c>
    </row>
    <row r="94" spans="1:20" x14ac:dyDescent="0.2">
      <c r="A94" t="s">
        <v>292</v>
      </c>
      <c r="B94" t="s">
        <v>26</v>
      </c>
      <c r="C94" t="s">
        <v>293</v>
      </c>
      <c r="D94" t="s">
        <v>294</v>
      </c>
      <c r="E94">
        <v>1</v>
      </c>
      <c r="F94" t="s">
        <v>472</v>
      </c>
      <c r="G94">
        <v>0.34483000000000003</v>
      </c>
      <c r="H94">
        <v>0.34483000000000003</v>
      </c>
      <c r="I94">
        <v>4.1500000000000004</v>
      </c>
      <c r="J94">
        <v>56</v>
      </c>
      <c r="K94">
        <v>3.5999999999999997E-2</v>
      </c>
      <c r="L94">
        <v>93</v>
      </c>
      <c r="M94">
        <v>93</v>
      </c>
      <c r="N94">
        <v>0.89117999999999997</v>
      </c>
      <c r="O94">
        <v>0.89117999999999997</v>
      </c>
      <c r="P94">
        <v>1.44</v>
      </c>
      <c r="Q94">
        <v>93</v>
      </c>
      <c r="R94">
        <v>1</v>
      </c>
      <c r="S94">
        <v>93</v>
      </c>
      <c r="T94">
        <v>93</v>
      </c>
    </row>
    <row r="95" spans="1:20" x14ac:dyDescent="0.2">
      <c r="A95" t="s">
        <v>296</v>
      </c>
      <c r="B95" t="s">
        <v>14</v>
      </c>
      <c r="C95" t="s">
        <v>297</v>
      </c>
      <c r="D95" t="s">
        <v>298</v>
      </c>
      <c r="E95">
        <v>1</v>
      </c>
      <c r="F95" t="s">
        <v>472</v>
      </c>
      <c r="G95">
        <v>0.82735000000000003</v>
      </c>
      <c r="H95">
        <v>0.90220999999999996</v>
      </c>
      <c r="I95">
        <v>1.4</v>
      </c>
      <c r="J95">
        <v>91</v>
      </c>
      <c r="K95">
        <v>1</v>
      </c>
      <c r="L95">
        <v>104</v>
      </c>
      <c r="M95">
        <v>95</v>
      </c>
      <c r="N95">
        <v>0.86389000000000005</v>
      </c>
      <c r="O95">
        <v>0.94277</v>
      </c>
      <c r="P95">
        <v>1.1499999999999999</v>
      </c>
      <c r="Q95">
        <v>94</v>
      </c>
      <c r="R95">
        <v>0.98899999999999999</v>
      </c>
      <c r="S95">
        <v>104</v>
      </c>
      <c r="T95">
        <v>95</v>
      </c>
    </row>
    <row r="96" spans="1:20" x14ac:dyDescent="0.2">
      <c r="A96" t="s">
        <v>299</v>
      </c>
      <c r="B96" t="s">
        <v>26</v>
      </c>
      <c r="C96" t="s">
        <v>300</v>
      </c>
      <c r="D96" t="s">
        <v>294</v>
      </c>
      <c r="E96">
        <v>1</v>
      </c>
      <c r="F96" t="s">
        <v>472</v>
      </c>
      <c r="G96">
        <v>0.66251000000000004</v>
      </c>
      <c r="H96">
        <v>0.69735000000000003</v>
      </c>
      <c r="I96">
        <v>2.87</v>
      </c>
      <c r="J96">
        <v>85</v>
      </c>
      <c r="K96">
        <v>0.72899999999999998</v>
      </c>
      <c r="L96">
        <v>98</v>
      </c>
      <c r="M96">
        <v>92</v>
      </c>
      <c r="N96">
        <v>0.55489999999999995</v>
      </c>
      <c r="O96">
        <v>0.58387</v>
      </c>
      <c r="P96">
        <v>2.77</v>
      </c>
      <c r="Q96">
        <v>71</v>
      </c>
      <c r="R96">
        <v>0.67600000000000005</v>
      </c>
      <c r="S96">
        <v>98</v>
      </c>
      <c r="T96">
        <v>92</v>
      </c>
    </row>
    <row r="97" spans="1:20" x14ac:dyDescent="0.2">
      <c r="A97" t="s">
        <v>301</v>
      </c>
      <c r="B97" t="s">
        <v>14</v>
      </c>
      <c r="C97" t="s">
        <v>302</v>
      </c>
      <c r="D97" t="s">
        <v>294</v>
      </c>
      <c r="E97">
        <v>1</v>
      </c>
      <c r="F97" t="s">
        <v>472</v>
      </c>
      <c r="G97">
        <v>0.71560999999999997</v>
      </c>
      <c r="H97">
        <v>0.74746000000000001</v>
      </c>
      <c r="I97">
        <v>2.33</v>
      </c>
      <c r="J97">
        <v>87</v>
      </c>
      <c r="K97">
        <v>0.90800000000000003</v>
      </c>
      <c r="L97">
        <v>99</v>
      </c>
      <c r="M97">
        <v>94</v>
      </c>
      <c r="N97">
        <v>0.60185</v>
      </c>
      <c r="O97">
        <v>0.62868999999999997</v>
      </c>
      <c r="P97">
        <v>2.14</v>
      </c>
      <c r="Q97">
        <v>72</v>
      </c>
      <c r="R97">
        <v>0.75</v>
      </c>
      <c r="S97">
        <v>99</v>
      </c>
      <c r="T97">
        <v>94</v>
      </c>
    </row>
    <row r="98" spans="1:20" x14ac:dyDescent="0.2">
      <c r="A98" t="s">
        <v>303</v>
      </c>
      <c r="B98" t="s">
        <v>26</v>
      </c>
      <c r="C98" t="s">
        <v>304</v>
      </c>
      <c r="D98" t="s">
        <v>305</v>
      </c>
      <c r="E98">
        <v>1</v>
      </c>
      <c r="F98" t="s">
        <v>472</v>
      </c>
      <c r="G98">
        <v>0.36121999999999999</v>
      </c>
      <c r="H98">
        <v>0.36121999999999999</v>
      </c>
      <c r="I98">
        <v>4.47</v>
      </c>
      <c r="J98">
        <v>61</v>
      </c>
      <c r="K98">
        <v>0.23</v>
      </c>
      <c r="L98">
        <v>92</v>
      </c>
      <c r="M98">
        <v>92</v>
      </c>
      <c r="N98">
        <v>0.93394999999999995</v>
      </c>
      <c r="O98">
        <v>0.93394999999999995</v>
      </c>
      <c r="P98">
        <v>1.03</v>
      </c>
      <c r="Q98">
        <v>92</v>
      </c>
      <c r="R98">
        <v>1</v>
      </c>
      <c r="S98">
        <v>92</v>
      </c>
      <c r="T98">
        <v>92</v>
      </c>
    </row>
    <row r="99" spans="1:20" x14ac:dyDescent="0.2">
      <c r="A99" t="s">
        <v>306</v>
      </c>
      <c r="B99" t="s">
        <v>14</v>
      </c>
      <c r="C99" t="s">
        <v>307</v>
      </c>
      <c r="D99" t="s">
        <v>208</v>
      </c>
      <c r="E99">
        <v>0</v>
      </c>
      <c r="F99" t="s">
        <v>473</v>
      </c>
    </row>
    <row r="100" spans="1:20" x14ac:dyDescent="0.2">
      <c r="A100" t="s">
        <v>309</v>
      </c>
      <c r="B100" t="s">
        <v>19</v>
      </c>
      <c r="C100" t="s">
        <v>310</v>
      </c>
      <c r="D100" t="s">
        <v>238</v>
      </c>
      <c r="E100">
        <v>1</v>
      </c>
      <c r="F100" t="s">
        <v>473</v>
      </c>
      <c r="G100">
        <v>0.42888999999999999</v>
      </c>
      <c r="H100">
        <v>0.52705999999999997</v>
      </c>
      <c r="I100">
        <v>3.54</v>
      </c>
      <c r="J100">
        <v>84</v>
      </c>
      <c r="K100">
        <v>0.69</v>
      </c>
      <c r="L100">
        <v>145</v>
      </c>
      <c r="M100">
        <v>112</v>
      </c>
      <c r="N100">
        <v>0.52981999999999996</v>
      </c>
      <c r="O100">
        <v>0.66342000000000001</v>
      </c>
      <c r="P100">
        <v>2.96</v>
      </c>
      <c r="Q100">
        <v>93</v>
      </c>
      <c r="R100">
        <v>0.84899999999999998</v>
      </c>
      <c r="S100">
        <v>145</v>
      </c>
      <c r="T100">
        <v>112</v>
      </c>
    </row>
    <row r="101" spans="1:20" x14ac:dyDescent="0.2">
      <c r="A101" t="s">
        <v>311</v>
      </c>
      <c r="B101" t="s">
        <v>26</v>
      </c>
      <c r="C101" t="s">
        <v>312</v>
      </c>
      <c r="D101" t="s">
        <v>217</v>
      </c>
      <c r="E101">
        <v>1</v>
      </c>
      <c r="F101" t="s">
        <v>474</v>
      </c>
      <c r="G101">
        <v>0.34650999999999998</v>
      </c>
      <c r="H101">
        <v>0.35709000000000002</v>
      </c>
      <c r="I101">
        <v>4.53</v>
      </c>
      <c r="J101">
        <v>68</v>
      </c>
      <c r="K101">
        <v>0.441</v>
      </c>
      <c r="L101">
        <v>120</v>
      </c>
      <c r="M101">
        <v>115</v>
      </c>
      <c r="N101">
        <v>0.63702000000000003</v>
      </c>
      <c r="O101">
        <v>0.65810999999999997</v>
      </c>
      <c r="P101">
        <v>3.2</v>
      </c>
      <c r="Q101">
        <v>108</v>
      </c>
      <c r="R101">
        <v>0.89800000000000002</v>
      </c>
      <c r="S101">
        <v>120</v>
      </c>
      <c r="T101">
        <v>115</v>
      </c>
    </row>
    <row r="102" spans="1:20" x14ac:dyDescent="0.2">
      <c r="A102" t="s">
        <v>314</v>
      </c>
      <c r="B102" t="s">
        <v>14</v>
      </c>
      <c r="C102" t="s">
        <v>315</v>
      </c>
      <c r="D102" t="s">
        <v>16</v>
      </c>
      <c r="E102">
        <v>1</v>
      </c>
      <c r="F102" t="s">
        <v>475</v>
      </c>
      <c r="G102">
        <v>0.23483000000000001</v>
      </c>
      <c r="H102">
        <v>0.28069</v>
      </c>
      <c r="I102">
        <v>5.43</v>
      </c>
      <c r="J102">
        <v>91</v>
      </c>
      <c r="K102">
        <v>5.5E-2</v>
      </c>
      <c r="L102">
        <v>239</v>
      </c>
      <c r="M102">
        <v>185</v>
      </c>
      <c r="N102">
        <v>0.42877999999999999</v>
      </c>
      <c r="O102">
        <v>0.53358000000000005</v>
      </c>
      <c r="P102">
        <v>3.82</v>
      </c>
      <c r="Q102">
        <v>130</v>
      </c>
      <c r="R102">
        <v>0.53800000000000003</v>
      </c>
      <c r="S102">
        <v>239</v>
      </c>
      <c r="T102">
        <v>185</v>
      </c>
    </row>
    <row r="103" spans="1:20" x14ac:dyDescent="0.2">
      <c r="A103" t="s">
        <v>317</v>
      </c>
      <c r="B103" t="s">
        <v>14</v>
      </c>
      <c r="C103" t="s">
        <v>318</v>
      </c>
      <c r="D103" t="s">
        <v>319</v>
      </c>
      <c r="E103">
        <v>0</v>
      </c>
      <c r="F103" t="s">
        <v>476</v>
      </c>
    </row>
    <row r="104" spans="1:20" x14ac:dyDescent="0.2">
      <c r="A104" t="s">
        <v>321</v>
      </c>
      <c r="B104" t="s">
        <v>19</v>
      </c>
      <c r="C104" t="s">
        <v>322</v>
      </c>
      <c r="D104" t="s">
        <v>323</v>
      </c>
      <c r="E104">
        <v>1</v>
      </c>
      <c r="F104" t="s">
        <v>476</v>
      </c>
      <c r="G104">
        <v>0.50146999999999997</v>
      </c>
      <c r="H104">
        <v>0.58875</v>
      </c>
      <c r="I104">
        <v>3.27</v>
      </c>
      <c r="J104">
        <v>86</v>
      </c>
      <c r="K104">
        <v>0.54700000000000004</v>
      </c>
      <c r="L104">
        <v>122</v>
      </c>
      <c r="M104">
        <v>98</v>
      </c>
      <c r="N104">
        <v>0.74292000000000002</v>
      </c>
      <c r="O104">
        <v>0.91274</v>
      </c>
      <c r="P104">
        <v>1.1499999999999999</v>
      </c>
      <c r="Q104">
        <v>96</v>
      </c>
      <c r="R104">
        <v>1</v>
      </c>
      <c r="S104">
        <v>122</v>
      </c>
      <c r="T104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CF26-A04D-5747-B86D-5138A318BB9C}">
  <dimension ref="A1:AK87"/>
  <sheetViews>
    <sheetView tabSelected="1" topLeftCell="AA3" zoomScale="75" zoomScaleNormal="100" workbookViewId="0">
      <selection activeCell="AK6" sqref="A6:AK87"/>
    </sheetView>
  </sheetViews>
  <sheetFormatPr baseColWidth="10" defaultRowHeight="16" x14ac:dyDescent="0.2"/>
  <cols>
    <col min="1" max="1" width="53.5" customWidth="1"/>
    <col min="3" max="3" width="42.5" customWidth="1"/>
    <col min="4" max="4" width="33.33203125" bestFit="1" customWidth="1"/>
    <col min="5" max="5" width="30.1640625" customWidth="1"/>
    <col min="8" max="8" width="12.33203125" customWidth="1"/>
    <col min="9" max="9" width="22.1640625" customWidth="1"/>
    <col min="10" max="10" width="13.1640625" customWidth="1"/>
    <col min="11" max="11" width="18.6640625" bestFit="1" customWidth="1"/>
    <col min="13" max="13" width="15.5" bestFit="1" customWidth="1"/>
    <col min="14" max="14" width="15.6640625" bestFit="1" customWidth="1"/>
    <col min="15" max="15" width="18" bestFit="1" customWidth="1"/>
    <col min="16" max="16" width="7.5" bestFit="1" customWidth="1"/>
    <col min="17" max="17" width="13.83203125" bestFit="1" customWidth="1"/>
    <col min="18" max="18" width="7.5" bestFit="1" customWidth="1"/>
    <col min="19" max="19" width="15.33203125" bestFit="1" customWidth="1"/>
    <col min="20" max="20" width="18.33203125" bestFit="1" customWidth="1"/>
    <col min="21" max="21" width="16.83203125" bestFit="1" customWidth="1"/>
    <col min="22" max="22" width="19" bestFit="1" customWidth="1"/>
    <col min="23" max="23" width="7.5" bestFit="1" customWidth="1"/>
    <col min="24" max="24" width="14.83203125" bestFit="1" customWidth="1"/>
    <col min="25" max="25" width="9.6640625" bestFit="1" customWidth="1"/>
    <col min="26" max="26" width="16.5" bestFit="1" customWidth="1"/>
    <col min="27" max="27" width="19.33203125" bestFit="1" customWidth="1"/>
    <col min="28" max="28" width="11" bestFit="1" customWidth="1"/>
    <col min="29" max="29" width="19" bestFit="1" customWidth="1"/>
    <col min="30" max="30" width="16.83203125" bestFit="1" customWidth="1"/>
    <col min="31" max="31" width="7.5" bestFit="1" customWidth="1"/>
    <col min="32" max="32" width="14.83203125" bestFit="1" customWidth="1"/>
    <col min="33" max="33" width="9.6640625" bestFit="1" customWidth="1"/>
    <col min="34" max="34" width="16.5" bestFit="1" customWidth="1"/>
    <col min="35" max="35" width="19.33203125" bestFit="1" customWidth="1"/>
    <col min="36" max="37" width="11" bestFit="1" customWidth="1"/>
  </cols>
  <sheetData>
    <row r="1" spans="1:37" hidden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37" ht="2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37" ht="144" customHeight="1" x14ac:dyDescent="0.2">
      <c r="A3" s="11" t="s">
        <v>408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37" ht="222" customHeight="1" x14ac:dyDescent="0.2">
      <c r="A4" s="12" t="s">
        <v>522</v>
      </c>
      <c r="B4" s="12"/>
      <c r="C4" s="12"/>
      <c r="D4" s="1"/>
      <c r="E4" s="1"/>
      <c r="F4" s="1"/>
      <c r="G4" s="1"/>
      <c r="H4" s="1"/>
      <c r="I4" s="1"/>
      <c r="J4" s="1"/>
      <c r="K4" s="1"/>
    </row>
    <row r="5" spans="1:37" ht="19" customHeight="1" x14ac:dyDescent="0.2">
      <c r="N5" s="13" t="s">
        <v>500</v>
      </c>
      <c r="O5" s="14"/>
      <c r="P5" s="14"/>
      <c r="Q5" s="14"/>
      <c r="R5" s="14"/>
      <c r="S5" s="14"/>
      <c r="T5" s="14"/>
      <c r="U5" s="15"/>
      <c r="V5" s="13" t="s">
        <v>501</v>
      </c>
      <c r="W5" s="14"/>
      <c r="X5" s="14"/>
      <c r="Y5" s="14"/>
      <c r="Z5" s="14"/>
      <c r="AA5" s="14"/>
      <c r="AB5" s="14"/>
      <c r="AC5" s="15"/>
      <c r="AD5" s="13" t="s">
        <v>502</v>
      </c>
      <c r="AE5" s="14"/>
      <c r="AF5" s="14"/>
      <c r="AG5" s="14"/>
      <c r="AH5" s="14"/>
      <c r="AI5" s="14"/>
      <c r="AJ5" s="14"/>
      <c r="AK5" s="14"/>
    </row>
    <row r="6" spans="1:37" x14ac:dyDescent="0.2">
      <c r="A6" t="s">
        <v>1</v>
      </c>
      <c r="B6" t="s">
        <v>2</v>
      </c>
      <c r="C6" t="s">
        <v>3</v>
      </c>
      <c r="D6" t="s">
        <v>4</v>
      </c>
      <c r="E6" t="s">
        <v>496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477</v>
      </c>
      <c r="O6" t="s">
        <v>504</v>
      </c>
      <c r="P6" t="s">
        <v>410</v>
      </c>
      <c r="Q6" t="s">
        <v>411</v>
      </c>
      <c r="R6" t="s">
        <v>412</v>
      </c>
      <c r="S6" t="s">
        <v>505</v>
      </c>
      <c r="T6" t="s">
        <v>414</v>
      </c>
      <c r="U6" t="s">
        <v>519</v>
      </c>
      <c r="V6" t="s">
        <v>506</v>
      </c>
      <c r="W6" t="s">
        <v>507</v>
      </c>
      <c r="X6" t="s">
        <v>508</v>
      </c>
      <c r="Y6" t="s">
        <v>509</v>
      </c>
      <c r="Z6" t="s">
        <v>510</v>
      </c>
      <c r="AA6" t="s">
        <v>511</v>
      </c>
      <c r="AB6" t="s">
        <v>512</v>
      </c>
      <c r="AC6" t="s">
        <v>520</v>
      </c>
      <c r="AD6" t="s">
        <v>503</v>
      </c>
      <c r="AE6" t="s">
        <v>513</v>
      </c>
      <c r="AF6" t="s">
        <v>514</v>
      </c>
      <c r="AG6" t="s">
        <v>515</v>
      </c>
      <c r="AH6" t="s">
        <v>516</v>
      </c>
      <c r="AI6" t="s">
        <v>517</v>
      </c>
      <c r="AJ6" t="s">
        <v>518</v>
      </c>
      <c r="AK6" t="s">
        <v>521</v>
      </c>
    </row>
    <row r="7" spans="1:37" x14ac:dyDescent="0.2">
      <c r="A7" t="s">
        <v>324</v>
      </c>
      <c r="B7" t="s">
        <v>13</v>
      </c>
      <c r="C7">
        <v>2</v>
      </c>
      <c r="D7" t="s">
        <v>14</v>
      </c>
      <c r="E7" t="str">
        <f t="shared" ref="E7:E16" si="0">LEFT(B7,4)&amp;"."&amp;LEFT(D7,1)</f>
        <v>1FN8.A</v>
      </c>
      <c r="F7" t="s">
        <v>15</v>
      </c>
      <c r="G7" t="s">
        <v>16</v>
      </c>
      <c r="H7">
        <v>1</v>
      </c>
      <c r="I7">
        <v>0</v>
      </c>
      <c r="J7">
        <v>0.81</v>
      </c>
      <c r="K7" t="s">
        <v>325</v>
      </c>
      <c r="L7" t="s">
        <v>326</v>
      </c>
      <c r="M7" t="s">
        <v>17</v>
      </c>
      <c r="N7" s="16">
        <v>0.99131000000000002</v>
      </c>
      <c r="O7" s="16">
        <v>0.99131000000000002</v>
      </c>
      <c r="P7" s="16">
        <v>0.53</v>
      </c>
      <c r="Q7" s="16">
        <v>224</v>
      </c>
      <c r="R7" s="16">
        <v>1</v>
      </c>
      <c r="S7" s="16">
        <v>224</v>
      </c>
      <c r="T7" s="16">
        <v>224</v>
      </c>
      <c r="U7" s="16">
        <f>Table32[[#This Row],[Experimental_length]]/Table32[[#This Row],[Predicted_length]]</f>
        <v>1</v>
      </c>
      <c r="V7" s="16">
        <v>0.99351</v>
      </c>
      <c r="W7" s="16">
        <v>0.99351</v>
      </c>
      <c r="X7" s="16">
        <v>0.45</v>
      </c>
      <c r="Y7" s="16">
        <v>224</v>
      </c>
      <c r="Z7" s="16">
        <v>1</v>
      </c>
      <c r="AA7" s="16">
        <v>224</v>
      </c>
      <c r="AB7" s="16">
        <v>224</v>
      </c>
      <c r="AC7" s="16">
        <f>Table32[[#This Row],[Experimental_length9]]/Table32[[#This Row],[Predicted_length8]]</f>
        <v>1</v>
      </c>
      <c r="AD7" s="16">
        <v>0.99417999999999995</v>
      </c>
      <c r="AE7" s="16">
        <v>0.99417999999999995</v>
      </c>
      <c r="AF7" s="16">
        <v>0.43</v>
      </c>
      <c r="AG7" s="16">
        <v>224</v>
      </c>
      <c r="AH7" s="16">
        <v>1</v>
      </c>
      <c r="AI7" s="16">
        <v>224</v>
      </c>
      <c r="AJ7" s="16">
        <v>224</v>
      </c>
      <c r="AK7" s="17">
        <f>Table32[[#This Row],[Experimental_length8]]/Table32[[#This Row],[Predicted_length7]]</f>
        <v>1</v>
      </c>
    </row>
    <row r="8" spans="1:37" x14ac:dyDescent="0.2">
      <c r="A8" t="s">
        <v>327</v>
      </c>
      <c r="B8" t="s">
        <v>21</v>
      </c>
      <c r="C8">
        <v>1</v>
      </c>
      <c r="D8" t="s">
        <v>14</v>
      </c>
      <c r="E8" t="str">
        <f t="shared" si="0"/>
        <v>1KG1.A</v>
      </c>
      <c r="F8" t="s">
        <v>22</v>
      </c>
      <c r="G8" t="s">
        <v>23</v>
      </c>
      <c r="H8">
        <v>1</v>
      </c>
      <c r="I8" t="s">
        <v>328</v>
      </c>
      <c r="J8">
        <v>0</v>
      </c>
      <c r="K8" t="s">
        <v>329</v>
      </c>
      <c r="L8" t="s">
        <v>330</v>
      </c>
      <c r="M8" t="s">
        <v>24</v>
      </c>
      <c r="N8" s="16">
        <v>0.30002000000000001</v>
      </c>
      <c r="O8" s="16">
        <v>0.30002000000000001</v>
      </c>
      <c r="P8" s="16">
        <v>3.72</v>
      </c>
      <c r="Q8" s="16">
        <v>36</v>
      </c>
      <c r="R8" s="16">
        <v>0.13900000000000001</v>
      </c>
      <c r="S8" s="16">
        <v>60</v>
      </c>
      <c r="T8" s="16">
        <v>60</v>
      </c>
      <c r="U8" s="16">
        <f>Table32[[#This Row],[Experimental_length]]/Table32[[#This Row],[Predicted_length]]</f>
        <v>1</v>
      </c>
      <c r="V8" s="16">
        <v>0.36764000000000002</v>
      </c>
      <c r="W8" s="16">
        <v>0.36764000000000002</v>
      </c>
      <c r="X8" s="16">
        <v>3.51</v>
      </c>
      <c r="Y8" s="16">
        <v>41</v>
      </c>
      <c r="Z8" s="16">
        <v>0.24399999999999999</v>
      </c>
      <c r="AA8" s="16">
        <v>60</v>
      </c>
      <c r="AB8" s="16">
        <v>60</v>
      </c>
      <c r="AC8" s="16">
        <f>Table32[[#This Row],[Experimental_length9]]/Table32[[#This Row],[Predicted_length8]]</f>
        <v>1</v>
      </c>
      <c r="AD8" s="16">
        <v>0.39532</v>
      </c>
      <c r="AE8" s="16">
        <v>0.39532</v>
      </c>
      <c r="AF8" s="16">
        <v>2.4500000000000002</v>
      </c>
      <c r="AG8" s="16">
        <v>35</v>
      </c>
      <c r="AH8" s="16">
        <v>0.45700000000000002</v>
      </c>
      <c r="AI8" s="16">
        <v>60</v>
      </c>
      <c r="AJ8" s="16">
        <v>60</v>
      </c>
      <c r="AK8" s="17">
        <f>Table32[[#This Row],[Experimental_length8]]/Table32[[#This Row],[Predicted_length7]]</f>
        <v>1</v>
      </c>
    </row>
    <row r="9" spans="1:37" x14ac:dyDescent="0.2">
      <c r="A9" t="s">
        <v>331</v>
      </c>
      <c r="B9" t="s">
        <v>25</v>
      </c>
      <c r="C9">
        <v>1</v>
      </c>
      <c r="D9" t="s">
        <v>26</v>
      </c>
      <c r="E9" t="str">
        <f t="shared" si="0"/>
        <v>1KPT.A</v>
      </c>
      <c r="F9" t="s">
        <v>27</v>
      </c>
      <c r="G9" t="s">
        <v>28</v>
      </c>
      <c r="H9">
        <v>1</v>
      </c>
      <c r="I9" t="s">
        <v>332</v>
      </c>
      <c r="J9">
        <v>1.75</v>
      </c>
      <c r="K9" t="s">
        <v>333</v>
      </c>
      <c r="L9" t="s">
        <v>334</v>
      </c>
      <c r="M9" t="s">
        <v>29</v>
      </c>
      <c r="N9" s="16">
        <v>0.96011999999999997</v>
      </c>
      <c r="O9" s="16">
        <v>0.96011999999999997</v>
      </c>
      <c r="P9" s="16">
        <v>0.85</v>
      </c>
      <c r="Q9" s="16">
        <v>105</v>
      </c>
      <c r="R9" s="16">
        <v>1</v>
      </c>
      <c r="S9" s="16">
        <v>105</v>
      </c>
      <c r="T9" s="16">
        <v>105</v>
      </c>
      <c r="U9" s="16">
        <f>Table32[[#This Row],[Experimental_length]]/Table32[[#This Row],[Predicted_length]]</f>
        <v>1</v>
      </c>
      <c r="V9" s="16">
        <v>0.97702</v>
      </c>
      <c r="W9" s="16">
        <v>0.97702</v>
      </c>
      <c r="X9" s="16">
        <v>0.64</v>
      </c>
      <c r="Y9" s="16">
        <v>105</v>
      </c>
      <c r="Z9" s="16">
        <v>1</v>
      </c>
      <c r="AA9" s="16">
        <v>105</v>
      </c>
      <c r="AB9" s="16">
        <v>105</v>
      </c>
      <c r="AC9" s="16">
        <f>Table32[[#This Row],[Experimental_length9]]/Table32[[#This Row],[Predicted_length8]]</f>
        <v>1</v>
      </c>
      <c r="AD9" s="16">
        <v>0.98372999999999999</v>
      </c>
      <c r="AE9" s="16">
        <v>0.98372999999999999</v>
      </c>
      <c r="AF9" s="16">
        <v>0.53</v>
      </c>
      <c r="AG9" s="16">
        <v>105</v>
      </c>
      <c r="AH9" s="16">
        <v>1</v>
      </c>
      <c r="AI9" s="16">
        <v>105</v>
      </c>
      <c r="AJ9" s="16">
        <v>105</v>
      </c>
      <c r="AK9" s="17">
        <f>Table32[[#This Row],[Experimental_length8]]/Table32[[#This Row],[Predicted_length7]]</f>
        <v>1</v>
      </c>
    </row>
    <row r="10" spans="1:37" x14ac:dyDescent="0.2">
      <c r="A10" t="s">
        <v>335</v>
      </c>
      <c r="B10" t="s">
        <v>30</v>
      </c>
      <c r="C10">
        <v>1</v>
      </c>
      <c r="D10" t="s">
        <v>14</v>
      </c>
      <c r="E10" t="str">
        <f t="shared" si="0"/>
        <v>1ZLD.A</v>
      </c>
      <c r="F10" t="s">
        <v>31</v>
      </c>
      <c r="G10" t="s">
        <v>32</v>
      </c>
      <c r="H10">
        <v>1</v>
      </c>
      <c r="I10" t="s">
        <v>332</v>
      </c>
      <c r="J10">
        <v>1.65</v>
      </c>
      <c r="K10" t="s">
        <v>333</v>
      </c>
      <c r="L10" t="s">
        <v>336</v>
      </c>
      <c r="M10" t="s">
        <v>33</v>
      </c>
      <c r="N10" s="16">
        <v>0.47665000000000002</v>
      </c>
      <c r="O10" s="16">
        <v>0.53198000000000001</v>
      </c>
      <c r="P10" s="16">
        <v>3.66</v>
      </c>
      <c r="Q10" s="16">
        <v>81</v>
      </c>
      <c r="R10" s="16">
        <v>0.45700000000000002</v>
      </c>
      <c r="S10" s="16">
        <v>118</v>
      </c>
      <c r="T10" s="16">
        <v>102</v>
      </c>
      <c r="U10" s="16">
        <f>Table32[[#This Row],[Experimental_length]]/Table32[[#This Row],[Predicted_length]]</f>
        <v>0.86440677966101698</v>
      </c>
      <c r="V10" s="16">
        <v>0.98619000000000001</v>
      </c>
      <c r="W10" s="16">
        <v>0.85414999999999996</v>
      </c>
      <c r="X10" s="16">
        <v>0.46</v>
      </c>
      <c r="Y10" s="16">
        <v>102</v>
      </c>
      <c r="Z10" s="16">
        <v>0.99</v>
      </c>
      <c r="AA10" s="16">
        <v>118</v>
      </c>
      <c r="AB10" s="16">
        <v>102</v>
      </c>
      <c r="AC10" s="16">
        <f>Table32[[#This Row],[Experimental_length9]]/Table32[[#This Row],[Predicted_length8]]</f>
        <v>0.86440677966101698</v>
      </c>
      <c r="AD10" s="16">
        <v>0.72131000000000001</v>
      </c>
      <c r="AE10" s="16">
        <v>0.8226</v>
      </c>
      <c r="AF10" s="16">
        <v>2.21</v>
      </c>
      <c r="AG10" s="16">
        <v>98</v>
      </c>
      <c r="AH10" s="16">
        <v>0.94899999999999995</v>
      </c>
      <c r="AI10" s="16">
        <v>118</v>
      </c>
      <c r="AJ10" s="16">
        <v>102</v>
      </c>
      <c r="AK10" s="17">
        <f>Table32[[#This Row],[Experimental_length8]]/Table32[[#This Row],[Predicted_length7]]</f>
        <v>0.86440677966101698</v>
      </c>
    </row>
    <row r="11" spans="1:37" x14ac:dyDescent="0.2">
      <c r="A11" t="s">
        <v>335</v>
      </c>
      <c r="B11" t="s">
        <v>34</v>
      </c>
      <c r="C11">
        <v>1</v>
      </c>
      <c r="D11" t="s">
        <v>35</v>
      </c>
      <c r="E11" t="str">
        <f t="shared" si="0"/>
        <v>1ZLE.A</v>
      </c>
      <c r="F11" t="s">
        <v>31</v>
      </c>
      <c r="G11" t="s">
        <v>32</v>
      </c>
      <c r="H11">
        <v>1</v>
      </c>
      <c r="I11" t="s">
        <v>332</v>
      </c>
      <c r="J11">
        <v>1.9</v>
      </c>
      <c r="K11" t="s">
        <v>333</v>
      </c>
      <c r="L11" t="s">
        <v>336</v>
      </c>
      <c r="M11" t="s">
        <v>33</v>
      </c>
      <c r="N11" s="16">
        <v>0.47804999999999997</v>
      </c>
      <c r="O11" s="16">
        <v>0.53400000000000003</v>
      </c>
      <c r="P11" s="16">
        <v>3.65</v>
      </c>
      <c r="Q11" s="16">
        <v>81</v>
      </c>
      <c r="R11" s="16">
        <v>0.45700000000000002</v>
      </c>
      <c r="S11" s="16">
        <v>118</v>
      </c>
      <c r="T11" s="16">
        <v>102</v>
      </c>
      <c r="U11" s="16">
        <f>Table32[[#This Row],[Experimental_length]]/Table32[[#This Row],[Predicted_length]]</f>
        <v>0.86440677966101698</v>
      </c>
      <c r="V11" s="16">
        <v>0.97591000000000006</v>
      </c>
      <c r="W11" s="16">
        <v>0.84504999999999997</v>
      </c>
      <c r="X11" s="16">
        <v>0.53</v>
      </c>
      <c r="Y11" s="16">
        <v>101</v>
      </c>
      <c r="Z11" s="16">
        <v>1</v>
      </c>
      <c r="AA11" s="16">
        <v>118</v>
      </c>
      <c r="AB11" s="16">
        <v>102</v>
      </c>
      <c r="AC11" s="16">
        <f>Table32[[#This Row],[Experimental_length9]]/Table32[[#This Row],[Predicted_length8]]</f>
        <v>0.86440677966101698</v>
      </c>
      <c r="AD11" s="16">
        <v>0.67095000000000005</v>
      </c>
      <c r="AE11" s="16">
        <v>0.75919000000000003</v>
      </c>
      <c r="AF11" s="16">
        <v>2.74</v>
      </c>
      <c r="AG11" s="16">
        <v>99</v>
      </c>
      <c r="AH11" s="16">
        <v>0.81799999999999995</v>
      </c>
      <c r="AI11" s="16">
        <v>118</v>
      </c>
      <c r="AJ11" s="16">
        <v>102</v>
      </c>
      <c r="AK11" s="17">
        <f>Table32[[#This Row],[Experimental_length8]]/Table32[[#This Row],[Predicted_length7]]</f>
        <v>0.86440677966101698</v>
      </c>
    </row>
    <row r="12" spans="1:37" x14ac:dyDescent="0.2">
      <c r="A12" t="s">
        <v>337</v>
      </c>
      <c r="B12" t="s">
        <v>36</v>
      </c>
      <c r="C12">
        <v>1</v>
      </c>
      <c r="D12" t="s">
        <v>14</v>
      </c>
      <c r="E12" t="str">
        <f t="shared" si="0"/>
        <v>2LW6.A</v>
      </c>
      <c r="F12" t="s">
        <v>37</v>
      </c>
      <c r="G12" t="s">
        <v>38</v>
      </c>
      <c r="H12">
        <v>1</v>
      </c>
      <c r="I12" t="s">
        <v>328</v>
      </c>
      <c r="J12">
        <v>0</v>
      </c>
      <c r="K12" t="s">
        <v>329</v>
      </c>
      <c r="L12" t="s">
        <v>338</v>
      </c>
      <c r="M12" t="s">
        <v>39</v>
      </c>
      <c r="N12" s="16">
        <v>0.45683000000000001</v>
      </c>
      <c r="O12" s="16">
        <v>0.45683000000000001</v>
      </c>
      <c r="P12" s="16">
        <v>3.88</v>
      </c>
      <c r="Q12" s="16">
        <v>63</v>
      </c>
      <c r="R12" s="16">
        <v>0.69799999999999995</v>
      </c>
      <c r="S12" s="16">
        <v>80</v>
      </c>
      <c r="T12" s="16">
        <v>80</v>
      </c>
      <c r="U12" s="16">
        <f>Table32[[#This Row],[Experimental_length]]/Table32[[#This Row],[Predicted_length]]</f>
        <v>1</v>
      </c>
      <c r="V12" s="16">
        <v>0.79278999999999999</v>
      </c>
      <c r="W12" s="16">
        <v>0.79278999999999999</v>
      </c>
      <c r="X12" s="16">
        <v>2.12</v>
      </c>
      <c r="Y12" s="16">
        <v>77</v>
      </c>
      <c r="Z12" s="16">
        <v>0.97399999999999998</v>
      </c>
      <c r="AA12" s="16">
        <v>80</v>
      </c>
      <c r="AB12" s="16">
        <v>80</v>
      </c>
      <c r="AC12" s="16">
        <f>Table32[[#This Row],[Experimental_length9]]/Table32[[#This Row],[Predicted_length8]]</f>
        <v>1</v>
      </c>
      <c r="AD12" s="16">
        <v>0.73282000000000003</v>
      </c>
      <c r="AE12" s="16">
        <v>0.73282000000000003</v>
      </c>
      <c r="AF12" s="16">
        <v>2.12</v>
      </c>
      <c r="AG12" s="16">
        <v>73</v>
      </c>
      <c r="AH12" s="16">
        <v>1</v>
      </c>
      <c r="AI12" s="16">
        <v>80</v>
      </c>
      <c r="AJ12" s="16">
        <v>80</v>
      </c>
      <c r="AK12" s="17">
        <f>Table32[[#This Row],[Experimental_length8]]/Table32[[#This Row],[Predicted_length7]]</f>
        <v>1</v>
      </c>
    </row>
    <row r="13" spans="1:37" x14ac:dyDescent="0.2">
      <c r="A13" t="s">
        <v>337</v>
      </c>
      <c r="B13" t="s">
        <v>40</v>
      </c>
      <c r="C13">
        <v>1</v>
      </c>
      <c r="D13" t="s">
        <v>14</v>
      </c>
      <c r="E13" t="str">
        <f t="shared" si="0"/>
        <v>2MM0.A</v>
      </c>
      <c r="F13" t="s">
        <v>41</v>
      </c>
      <c r="G13" t="s">
        <v>32</v>
      </c>
      <c r="H13">
        <v>1</v>
      </c>
      <c r="I13" t="s">
        <v>328</v>
      </c>
      <c r="J13">
        <v>0</v>
      </c>
      <c r="K13" t="s">
        <v>329</v>
      </c>
      <c r="L13" t="s">
        <v>339</v>
      </c>
      <c r="M13" t="s">
        <v>42</v>
      </c>
      <c r="N13" s="16">
        <v>0.46666999999999997</v>
      </c>
      <c r="O13" s="16">
        <v>0.46666999999999997</v>
      </c>
      <c r="P13" s="16">
        <v>3.63</v>
      </c>
      <c r="Q13" s="16">
        <v>60</v>
      </c>
      <c r="R13" s="16">
        <v>0.48299999999999998</v>
      </c>
      <c r="S13" s="16">
        <v>64</v>
      </c>
      <c r="T13" s="16">
        <v>64</v>
      </c>
      <c r="U13" s="16">
        <f>Table32[[#This Row],[Experimental_length]]/Table32[[#This Row],[Predicted_length]]</f>
        <v>1</v>
      </c>
      <c r="V13" s="16">
        <v>0.89905999999999997</v>
      </c>
      <c r="W13" s="16">
        <v>0.89905999999999997</v>
      </c>
      <c r="X13" s="16">
        <v>1.06</v>
      </c>
      <c r="Y13" s="16">
        <v>64</v>
      </c>
      <c r="Z13" s="16">
        <v>1</v>
      </c>
      <c r="AA13" s="16">
        <v>64</v>
      </c>
      <c r="AB13" s="16">
        <v>64</v>
      </c>
      <c r="AC13" s="16">
        <f>Table32[[#This Row],[Experimental_length9]]/Table32[[#This Row],[Predicted_length8]]</f>
        <v>1</v>
      </c>
      <c r="AD13" s="16">
        <v>0.89834999999999998</v>
      </c>
      <c r="AE13" s="16">
        <v>0.89834999999999998</v>
      </c>
      <c r="AF13" s="16">
        <v>1.07</v>
      </c>
      <c r="AG13" s="16">
        <v>64</v>
      </c>
      <c r="AH13" s="16">
        <v>1</v>
      </c>
      <c r="AI13" s="16">
        <v>64</v>
      </c>
      <c r="AJ13" s="16">
        <v>64</v>
      </c>
      <c r="AK13" s="17">
        <f>Table32[[#This Row],[Experimental_length8]]/Table32[[#This Row],[Predicted_length7]]</f>
        <v>1</v>
      </c>
    </row>
    <row r="14" spans="1:37" x14ac:dyDescent="0.2">
      <c r="A14" t="s">
        <v>340</v>
      </c>
      <c r="B14" t="s">
        <v>43</v>
      </c>
      <c r="C14">
        <v>1</v>
      </c>
      <c r="D14" t="s">
        <v>14</v>
      </c>
      <c r="E14" t="str">
        <f t="shared" si="0"/>
        <v>2MM2.A</v>
      </c>
      <c r="F14" t="s">
        <v>44</v>
      </c>
      <c r="G14" t="s">
        <v>32</v>
      </c>
      <c r="H14">
        <v>1</v>
      </c>
      <c r="I14" t="s">
        <v>328</v>
      </c>
      <c r="J14">
        <v>0</v>
      </c>
      <c r="K14" t="s">
        <v>333</v>
      </c>
      <c r="L14" t="s">
        <v>339</v>
      </c>
      <c r="M14" t="s">
        <v>42</v>
      </c>
      <c r="N14" s="16">
        <v>0.48946000000000001</v>
      </c>
      <c r="O14" s="16">
        <v>0.48946000000000001</v>
      </c>
      <c r="P14" s="16">
        <v>2.6</v>
      </c>
      <c r="Q14" s="16">
        <v>45</v>
      </c>
      <c r="R14" s="16">
        <v>0.88900000000000001</v>
      </c>
      <c r="S14" s="16">
        <v>65</v>
      </c>
      <c r="T14" s="16">
        <v>65</v>
      </c>
      <c r="U14" s="16">
        <f>Table32[[#This Row],[Experimental_length]]/Table32[[#This Row],[Predicted_length]]</f>
        <v>1</v>
      </c>
      <c r="V14" s="16">
        <v>0.89207999999999998</v>
      </c>
      <c r="W14" s="16">
        <v>0.89207999999999998</v>
      </c>
      <c r="X14" s="16">
        <v>1.22</v>
      </c>
      <c r="Y14" s="16">
        <v>65</v>
      </c>
      <c r="Z14" s="16">
        <v>1</v>
      </c>
      <c r="AA14" s="16">
        <v>65</v>
      </c>
      <c r="AB14" s="16">
        <v>65</v>
      </c>
      <c r="AC14" s="16">
        <f>Table32[[#This Row],[Experimental_length9]]/Table32[[#This Row],[Predicted_length8]]</f>
        <v>1</v>
      </c>
      <c r="AD14" s="16">
        <v>0.90705999999999998</v>
      </c>
      <c r="AE14" s="16">
        <v>0.90705999999999998</v>
      </c>
      <c r="AF14" s="16">
        <v>1.2</v>
      </c>
      <c r="AG14" s="16">
        <v>65</v>
      </c>
      <c r="AH14" s="16">
        <v>1</v>
      </c>
      <c r="AI14" s="16">
        <v>65</v>
      </c>
      <c r="AJ14" s="16">
        <v>65</v>
      </c>
      <c r="AK14" s="17">
        <f>Table32[[#This Row],[Experimental_length8]]/Table32[[#This Row],[Predicted_length7]]</f>
        <v>1</v>
      </c>
    </row>
    <row r="15" spans="1:37" x14ac:dyDescent="0.2">
      <c r="A15" t="s">
        <v>340</v>
      </c>
      <c r="B15" t="s">
        <v>45</v>
      </c>
      <c r="C15">
        <v>1</v>
      </c>
      <c r="D15" t="s">
        <v>14</v>
      </c>
      <c r="E15" t="str">
        <f t="shared" si="0"/>
        <v>2MYV.A</v>
      </c>
      <c r="F15" t="s">
        <v>46</v>
      </c>
      <c r="G15" t="s">
        <v>47</v>
      </c>
      <c r="H15">
        <v>1</v>
      </c>
      <c r="I15" t="s">
        <v>328</v>
      </c>
      <c r="J15">
        <v>0</v>
      </c>
      <c r="K15" t="s">
        <v>333</v>
      </c>
      <c r="L15" t="s">
        <v>341</v>
      </c>
      <c r="M15" t="s">
        <v>48</v>
      </c>
      <c r="N15" s="16">
        <v>0.24790999999999999</v>
      </c>
      <c r="O15" s="16">
        <v>0.28294999999999998</v>
      </c>
      <c r="P15" s="16">
        <v>4.07</v>
      </c>
      <c r="Q15" s="16">
        <v>43</v>
      </c>
      <c r="R15" s="16">
        <v>0.30199999999999999</v>
      </c>
      <c r="S15" s="16">
        <v>98</v>
      </c>
      <c r="T15" s="16">
        <v>79</v>
      </c>
      <c r="U15" s="16">
        <f>Table32[[#This Row],[Experimental_length]]/Table32[[#This Row],[Predicted_length]]</f>
        <v>0.80612244897959184</v>
      </c>
      <c r="V15" s="16">
        <v>0.72843000000000002</v>
      </c>
      <c r="W15" s="16">
        <v>0.59770999999999996</v>
      </c>
      <c r="X15" s="16">
        <v>1.99</v>
      </c>
      <c r="Y15" s="16">
        <v>66</v>
      </c>
      <c r="Z15" s="16">
        <v>0.92400000000000004</v>
      </c>
      <c r="AA15" s="16">
        <v>98</v>
      </c>
      <c r="AB15" s="16">
        <v>79</v>
      </c>
      <c r="AC15" s="16">
        <f>Table32[[#This Row],[Experimental_length9]]/Table32[[#This Row],[Predicted_length8]]</f>
        <v>0.80612244897959184</v>
      </c>
      <c r="AD15" s="16">
        <v>0.58679000000000003</v>
      </c>
      <c r="AE15" s="16">
        <v>0.71862000000000004</v>
      </c>
      <c r="AF15" s="16">
        <v>2.2599999999999998</v>
      </c>
      <c r="AG15" s="16">
        <v>64</v>
      </c>
      <c r="AH15" s="16">
        <v>0.93799999999999994</v>
      </c>
      <c r="AI15" s="16">
        <v>98</v>
      </c>
      <c r="AJ15" s="16">
        <v>79</v>
      </c>
      <c r="AK15" s="17">
        <f>Table32[[#This Row],[Experimental_length8]]/Table32[[#This Row],[Predicted_length7]]</f>
        <v>0.80612244897959184</v>
      </c>
    </row>
    <row r="16" spans="1:37" x14ac:dyDescent="0.2">
      <c r="A16" t="s">
        <v>340</v>
      </c>
      <c r="B16" t="s">
        <v>49</v>
      </c>
      <c r="C16">
        <v>1</v>
      </c>
      <c r="D16" t="s">
        <v>14</v>
      </c>
      <c r="E16" t="str">
        <f t="shared" si="0"/>
        <v>2MYW.A</v>
      </c>
      <c r="F16" t="s">
        <v>50</v>
      </c>
      <c r="G16" t="s">
        <v>38</v>
      </c>
      <c r="H16">
        <v>1</v>
      </c>
      <c r="I16" t="s">
        <v>328</v>
      </c>
      <c r="J16">
        <v>0</v>
      </c>
      <c r="K16" t="s">
        <v>333</v>
      </c>
      <c r="L16" t="s">
        <v>341</v>
      </c>
      <c r="M16" t="s">
        <v>48</v>
      </c>
      <c r="N16" s="16">
        <v>0.47844999999999999</v>
      </c>
      <c r="O16" s="16">
        <v>0.55854999999999999</v>
      </c>
      <c r="P16" s="16">
        <v>2.74</v>
      </c>
      <c r="Q16" s="16">
        <v>62</v>
      </c>
      <c r="R16" s="16">
        <v>0.71</v>
      </c>
      <c r="S16" s="16">
        <v>97</v>
      </c>
      <c r="T16" s="16">
        <v>79</v>
      </c>
      <c r="U16" s="16">
        <f>Table32[[#This Row],[Experimental_length]]/Table32[[#This Row],[Predicted_length]]</f>
        <v>0.81443298969072164</v>
      </c>
      <c r="V16" s="16">
        <v>0.77010000000000001</v>
      </c>
      <c r="W16" s="16">
        <v>0.63634000000000002</v>
      </c>
      <c r="X16" s="16">
        <v>1.23</v>
      </c>
      <c r="Y16" s="16">
        <v>66</v>
      </c>
      <c r="Z16" s="16">
        <v>1</v>
      </c>
      <c r="AA16" s="16">
        <v>97</v>
      </c>
      <c r="AB16" s="16">
        <v>79</v>
      </c>
      <c r="AC16" s="16">
        <f>Table32[[#This Row],[Experimental_length9]]/Table32[[#This Row],[Predicted_length8]]</f>
        <v>0.81443298969072164</v>
      </c>
      <c r="AD16" s="16">
        <v>0.63327999999999995</v>
      </c>
      <c r="AE16" s="16">
        <v>0.76549</v>
      </c>
      <c r="AF16" s="16">
        <v>1.28</v>
      </c>
      <c r="AG16" s="16">
        <v>66</v>
      </c>
      <c r="AH16" s="16">
        <v>1</v>
      </c>
      <c r="AI16" s="16">
        <v>97</v>
      </c>
      <c r="AJ16" s="16">
        <v>79</v>
      </c>
      <c r="AK16" s="17">
        <f>Table32[[#This Row],[Experimental_length8]]/Table32[[#This Row],[Predicted_length7]]</f>
        <v>0.81443298969072164</v>
      </c>
    </row>
    <row r="17" spans="1:37" x14ac:dyDescent="0.2">
      <c r="A17" t="s">
        <v>337</v>
      </c>
      <c r="B17" t="s">
        <v>51</v>
      </c>
      <c r="C17">
        <v>1</v>
      </c>
      <c r="D17" t="s">
        <v>14</v>
      </c>
      <c r="E17" t="str">
        <f t="shared" ref="E17:E48" si="1">LEFT(B17,4)&amp;"."&amp;LEFT(D17,1)</f>
        <v>2N37.A</v>
      </c>
      <c r="F17" t="s">
        <v>50</v>
      </c>
      <c r="G17" t="s">
        <v>38</v>
      </c>
      <c r="H17">
        <v>1</v>
      </c>
      <c r="I17" t="s">
        <v>328</v>
      </c>
      <c r="J17">
        <v>0</v>
      </c>
      <c r="K17" t="s">
        <v>329</v>
      </c>
      <c r="L17" t="s">
        <v>342</v>
      </c>
      <c r="M17" t="s">
        <v>52</v>
      </c>
      <c r="N17" s="16">
        <v>0.77305999999999997</v>
      </c>
      <c r="O17" s="16">
        <v>0.77305999999999997</v>
      </c>
      <c r="P17" s="16">
        <v>1.78</v>
      </c>
      <c r="Q17" s="16">
        <v>65</v>
      </c>
      <c r="R17" s="16">
        <v>0.93799999999999994</v>
      </c>
      <c r="S17" s="16">
        <v>66</v>
      </c>
      <c r="T17" s="16">
        <v>66</v>
      </c>
      <c r="U17" s="16">
        <f>Table32[[#This Row],[Experimental_length]]/Table32[[#This Row],[Predicted_length]]</f>
        <v>1</v>
      </c>
      <c r="V17" s="16">
        <v>0.78280000000000005</v>
      </c>
      <c r="W17" s="16">
        <v>0.78280000000000005</v>
      </c>
      <c r="X17" s="16">
        <v>1.89</v>
      </c>
      <c r="Y17" s="16">
        <v>65</v>
      </c>
      <c r="Z17" s="16">
        <v>0.98499999999999999</v>
      </c>
      <c r="AA17" s="16">
        <v>66</v>
      </c>
      <c r="AB17" s="16">
        <v>66</v>
      </c>
      <c r="AC17" s="16">
        <f>Table32[[#This Row],[Experimental_length9]]/Table32[[#This Row],[Predicted_length8]]</f>
        <v>1</v>
      </c>
      <c r="AD17" s="16">
        <v>0.78051999999999999</v>
      </c>
      <c r="AE17" s="16">
        <v>0.78051999999999999</v>
      </c>
      <c r="AF17" s="16">
        <v>1.93</v>
      </c>
      <c r="AG17" s="16">
        <v>66</v>
      </c>
      <c r="AH17" s="16">
        <v>1</v>
      </c>
      <c r="AI17" s="16">
        <v>66</v>
      </c>
      <c r="AJ17" s="16">
        <v>66</v>
      </c>
      <c r="AK17" s="17">
        <f>Table32[[#This Row],[Experimental_length8]]/Table32[[#This Row],[Predicted_length7]]</f>
        <v>1</v>
      </c>
    </row>
    <row r="18" spans="1:37" x14ac:dyDescent="0.2">
      <c r="A18" t="s">
        <v>327</v>
      </c>
      <c r="B18" t="s">
        <v>53</v>
      </c>
      <c r="C18">
        <v>1</v>
      </c>
      <c r="D18" t="s">
        <v>14</v>
      </c>
      <c r="E18" t="str">
        <f t="shared" si="1"/>
        <v>2N4O.A</v>
      </c>
      <c r="F18" t="s">
        <v>54</v>
      </c>
      <c r="G18" t="s">
        <v>55</v>
      </c>
      <c r="H18">
        <v>1</v>
      </c>
      <c r="I18" t="s">
        <v>328</v>
      </c>
      <c r="J18">
        <v>0</v>
      </c>
      <c r="K18" t="s">
        <v>329</v>
      </c>
      <c r="L18" t="s">
        <v>343</v>
      </c>
      <c r="M18" t="s">
        <v>56</v>
      </c>
      <c r="N18" s="16">
        <v>0.57696000000000003</v>
      </c>
      <c r="O18" s="16">
        <v>0.57696000000000003</v>
      </c>
      <c r="P18" s="16">
        <v>3.07</v>
      </c>
      <c r="Q18" s="16">
        <v>81</v>
      </c>
      <c r="R18" s="16">
        <v>0.67900000000000005</v>
      </c>
      <c r="S18" s="16">
        <v>95</v>
      </c>
      <c r="T18" s="16">
        <v>95</v>
      </c>
      <c r="U18" s="16">
        <f>Table32[[#This Row],[Experimental_length]]/Table32[[#This Row],[Predicted_length]]</f>
        <v>1</v>
      </c>
      <c r="V18" s="16">
        <v>0.62495000000000001</v>
      </c>
      <c r="W18" s="16">
        <v>0.62495000000000001</v>
      </c>
      <c r="X18" s="16">
        <v>2.86</v>
      </c>
      <c r="Y18" s="16">
        <v>85</v>
      </c>
      <c r="Z18" s="16">
        <v>0.8</v>
      </c>
      <c r="AA18" s="16">
        <v>95</v>
      </c>
      <c r="AB18" s="16">
        <v>95</v>
      </c>
      <c r="AC18" s="16">
        <f>Table32[[#This Row],[Experimental_length9]]/Table32[[#This Row],[Predicted_length8]]</f>
        <v>1</v>
      </c>
      <c r="AD18" s="16">
        <v>0.55052999999999996</v>
      </c>
      <c r="AE18" s="16">
        <v>0.55052999999999996</v>
      </c>
      <c r="AF18" s="16">
        <v>3.13</v>
      </c>
      <c r="AG18" s="16">
        <v>78</v>
      </c>
      <c r="AH18" s="16">
        <v>0.71799999999999997</v>
      </c>
      <c r="AI18" s="16">
        <v>95</v>
      </c>
      <c r="AJ18" s="16">
        <v>95</v>
      </c>
      <c r="AK18" s="17">
        <f>Table32[[#This Row],[Experimental_length8]]/Table32[[#This Row],[Predicted_length7]]</f>
        <v>1</v>
      </c>
    </row>
    <row r="19" spans="1:37" x14ac:dyDescent="0.2">
      <c r="A19" t="s">
        <v>335</v>
      </c>
      <c r="B19" t="s">
        <v>57</v>
      </c>
      <c r="C19">
        <v>1</v>
      </c>
      <c r="D19" t="s">
        <v>14</v>
      </c>
      <c r="E19" t="str">
        <f t="shared" si="1"/>
        <v>2OPC.A</v>
      </c>
      <c r="F19" t="s">
        <v>58</v>
      </c>
      <c r="G19" t="s">
        <v>59</v>
      </c>
      <c r="H19">
        <v>1</v>
      </c>
      <c r="I19" t="s">
        <v>332</v>
      </c>
      <c r="J19">
        <v>1.43</v>
      </c>
      <c r="K19" t="s">
        <v>333</v>
      </c>
      <c r="L19" t="s">
        <v>344</v>
      </c>
      <c r="M19" t="s">
        <v>60</v>
      </c>
      <c r="N19" s="16">
        <v>0.28986000000000001</v>
      </c>
      <c r="O19" s="16">
        <v>0.30972</v>
      </c>
      <c r="P19" s="16">
        <v>4.4000000000000004</v>
      </c>
      <c r="Q19" s="16">
        <v>62</v>
      </c>
      <c r="R19" s="16">
        <v>0.30599999999999999</v>
      </c>
      <c r="S19" s="16">
        <v>127</v>
      </c>
      <c r="T19" s="16">
        <v>115</v>
      </c>
      <c r="U19" s="16">
        <f>Table32[[#This Row],[Experimental_length]]/Table32[[#This Row],[Predicted_length]]</f>
        <v>0.90551181102362199</v>
      </c>
      <c r="V19" s="16">
        <v>0.97443000000000002</v>
      </c>
      <c r="W19" s="16">
        <v>0.88400000000000001</v>
      </c>
      <c r="X19" s="16">
        <v>0.85</v>
      </c>
      <c r="Y19" s="16">
        <v>115</v>
      </c>
      <c r="Z19" s="16">
        <v>1</v>
      </c>
      <c r="AA19" s="16">
        <v>127</v>
      </c>
      <c r="AB19" s="16">
        <v>115</v>
      </c>
      <c r="AC19" s="16">
        <f>Table32[[#This Row],[Experimental_length9]]/Table32[[#This Row],[Predicted_length8]]</f>
        <v>0.90551181102362199</v>
      </c>
      <c r="AD19" s="16">
        <v>0.88449</v>
      </c>
      <c r="AE19" s="16">
        <v>0.97502999999999995</v>
      </c>
      <c r="AF19" s="16">
        <v>0.85</v>
      </c>
      <c r="AG19" s="16">
        <v>115</v>
      </c>
      <c r="AH19" s="16">
        <v>1</v>
      </c>
      <c r="AI19" s="16">
        <v>127</v>
      </c>
      <c r="AJ19" s="16">
        <v>115</v>
      </c>
      <c r="AK19" s="17">
        <f>Table32[[#This Row],[Experimental_length8]]/Table32[[#This Row],[Predicted_length7]]</f>
        <v>0.90551181102362199</v>
      </c>
    </row>
    <row r="20" spans="1:37" x14ac:dyDescent="0.2">
      <c r="A20" t="s">
        <v>335</v>
      </c>
      <c r="B20" t="s">
        <v>61</v>
      </c>
      <c r="C20">
        <v>1</v>
      </c>
      <c r="D20" t="s">
        <v>14</v>
      </c>
      <c r="E20" t="str">
        <f t="shared" si="1"/>
        <v>2QVT.A</v>
      </c>
      <c r="F20" t="s">
        <v>62</v>
      </c>
      <c r="G20" t="s">
        <v>59</v>
      </c>
      <c r="H20">
        <v>1</v>
      </c>
      <c r="I20" t="s">
        <v>332</v>
      </c>
      <c r="J20">
        <v>2.2599999999999998</v>
      </c>
      <c r="K20" t="s">
        <v>329</v>
      </c>
      <c r="L20" t="s">
        <v>345</v>
      </c>
      <c r="M20" t="s">
        <v>63</v>
      </c>
      <c r="N20" s="16">
        <v>0.22026000000000001</v>
      </c>
      <c r="O20" s="16">
        <v>0.26679000000000003</v>
      </c>
      <c r="P20" s="16">
        <v>4.7</v>
      </c>
      <c r="Q20" s="16">
        <v>54</v>
      </c>
      <c r="R20" s="16">
        <v>3.6999999999999998E-2</v>
      </c>
      <c r="S20" s="16">
        <v>150</v>
      </c>
      <c r="T20" s="16">
        <v>113</v>
      </c>
      <c r="U20" s="16">
        <f>Table32[[#This Row],[Experimental_length]]/Table32[[#This Row],[Predicted_length]]</f>
        <v>0.7533333333333333</v>
      </c>
      <c r="V20" s="16">
        <v>0.98836000000000002</v>
      </c>
      <c r="W20" s="16">
        <v>0.74663000000000002</v>
      </c>
      <c r="X20" s="16">
        <v>0.46</v>
      </c>
      <c r="Y20" s="16">
        <v>113</v>
      </c>
      <c r="Z20" s="16">
        <v>1</v>
      </c>
      <c r="AA20" s="16">
        <v>150</v>
      </c>
      <c r="AB20" s="16">
        <v>113</v>
      </c>
      <c r="AC20" s="16">
        <f>Table32[[#This Row],[Experimental_length9]]/Table32[[#This Row],[Predicted_length8]]</f>
        <v>0.7533333333333333</v>
      </c>
      <c r="AD20" s="16">
        <v>0.74585000000000001</v>
      </c>
      <c r="AE20" s="16">
        <v>0.98731999999999998</v>
      </c>
      <c r="AF20" s="16">
        <v>0.51</v>
      </c>
      <c r="AG20" s="16">
        <v>113</v>
      </c>
      <c r="AH20" s="16">
        <v>1</v>
      </c>
      <c r="AI20" s="16">
        <v>150</v>
      </c>
      <c r="AJ20" s="16">
        <v>113</v>
      </c>
      <c r="AK20" s="17">
        <f>Table32[[#This Row],[Experimental_length8]]/Table32[[#This Row],[Predicted_length7]]</f>
        <v>0.7533333333333333</v>
      </c>
    </row>
    <row r="21" spans="1:37" x14ac:dyDescent="0.2">
      <c r="A21" t="s">
        <v>346</v>
      </c>
      <c r="B21" t="s">
        <v>64</v>
      </c>
      <c r="C21">
        <v>2</v>
      </c>
      <c r="D21" t="s">
        <v>26</v>
      </c>
      <c r="E21" t="str">
        <f t="shared" si="1"/>
        <v>31EE.A</v>
      </c>
      <c r="F21" t="s">
        <v>65</v>
      </c>
      <c r="G21" t="s">
        <v>16</v>
      </c>
      <c r="H21">
        <v>1</v>
      </c>
      <c r="I21">
        <v>0</v>
      </c>
      <c r="J21">
        <v>1.81</v>
      </c>
      <c r="K21" t="s">
        <v>325</v>
      </c>
      <c r="L21" t="s">
        <v>347</v>
      </c>
      <c r="M21" t="s">
        <v>66</v>
      </c>
      <c r="N21" s="16">
        <v>0.83818000000000004</v>
      </c>
      <c r="O21" s="16">
        <v>0.92225000000000001</v>
      </c>
      <c r="P21" s="16">
        <v>1.89</v>
      </c>
      <c r="Q21" s="16">
        <v>244</v>
      </c>
      <c r="R21" s="16">
        <v>0.92600000000000005</v>
      </c>
      <c r="S21" s="16">
        <v>271</v>
      </c>
      <c r="T21" s="16">
        <v>245</v>
      </c>
      <c r="U21" s="16">
        <f>Table32[[#This Row],[Experimental_length]]/Table32[[#This Row],[Predicted_length]]</f>
        <v>0.90405904059040587</v>
      </c>
      <c r="V21" s="16">
        <v>0.96877000000000002</v>
      </c>
      <c r="W21" s="16">
        <v>0.87783</v>
      </c>
      <c r="X21" s="16">
        <v>1.18</v>
      </c>
      <c r="Y21" s="16">
        <v>245</v>
      </c>
      <c r="Z21" s="16">
        <v>1</v>
      </c>
      <c r="AA21" s="16">
        <v>271</v>
      </c>
      <c r="AB21" s="16">
        <v>245</v>
      </c>
      <c r="AC21" s="16">
        <f>Table32[[#This Row],[Experimental_length9]]/Table32[[#This Row],[Predicted_length8]]</f>
        <v>0.90405904059040587</v>
      </c>
      <c r="AD21" s="16">
        <v>0.87897999999999998</v>
      </c>
      <c r="AE21" s="16">
        <v>0.97011000000000003</v>
      </c>
      <c r="AF21" s="16">
        <v>1.1599999999999999</v>
      </c>
      <c r="AG21" s="16">
        <v>245</v>
      </c>
      <c r="AH21" s="16">
        <v>1</v>
      </c>
      <c r="AI21" s="16">
        <v>271</v>
      </c>
      <c r="AJ21" s="16">
        <v>245</v>
      </c>
      <c r="AK21" s="17">
        <f>Table32[[#This Row],[Experimental_length8]]/Table32[[#This Row],[Predicted_length7]]</f>
        <v>0.90405904059040587</v>
      </c>
    </row>
    <row r="22" spans="1:37" x14ac:dyDescent="0.2">
      <c r="A22" t="s">
        <v>348</v>
      </c>
      <c r="B22" t="s">
        <v>70</v>
      </c>
      <c r="C22">
        <v>1</v>
      </c>
      <c r="D22" t="s">
        <v>14</v>
      </c>
      <c r="E22" t="str">
        <f t="shared" si="1"/>
        <v>4B8V.A</v>
      </c>
      <c r="F22" t="s">
        <v>71</v>
      </c>
      <c r="G22" t="s">
        <v>72</v>
      </c>
      <c r="H22">
        <v>1</v>
      </c>
      <c r="I22" t="s">
        <v>332</v>
      </c>
      <c r="J22">
        <v>1.59</v>
      </c>
      <c r="K22" t="s">
        <v>329</v>
      </c>
      <c r="L22" t="s">
        <v>349</v>
      </c>
      <c r="M22" t="s">
        <v>73</v>
      </c>
      <c r="N22" s="16">
        <v>0.66752999999999996</v>
      </c>
      <c r="O22" s="16">
        <v>0.78974</v>
      </c>
      <c r="P22" s="16">
        <v>3.29</v>
      </c>
      <c r="Q22" s="16">
        <v>183</v>
      </c>
      <c r="R22" s="16">
        <v>0.85799999999999998</v>
      </c>
      <c r="S22" s="16">
        <v>228</v>
      </c>
      <c r="T22" s="16">
        <v>189</v>
      </c>
      <c r="U22" s="16">
        <f>Table32[[#This Row],[Experimental_length]]/Table32[[#This Row],[Predicted_length]]</f>
        <v>0.82894736842105265</v>
      </c>
      <c r="V22" s="16">
        <v>0.98050999999999999</v>
      </c>
      <c r="W22" s="16">
        <v>0.81535000000000002</v>
      </c>
      <c r="X22" s="16">
        <v>0.73</v>
      </c>
      <c r="Y22" s="16">
        <v>189</v>
      </c>
      <c r="Z22" s="16">
        <v>1</v>
      </c>
      <c r="AA22" s="16">
        <v>228</v>
      </c>
      <c r="AB22" s="16">
        <v>189</v>
      </c>
      <c r="AC22" s="16">
        <f>Table32[[#This Row],[Experimental_length9]]/Table32[[#This Row],[Predicted_length8]]</f>
        <v>0.82894736842105265</v>
      </c>
      <c r="AD22" s="16">
        <v>0.66715999999999998</v>
      </c>
      <c r="AE22" s="16">
        <v>0.79151000000000005</v>
      </c>
      <c r="AF22" s="16">
        <v>3.5</v>
      </c>
      <c r="AG22" s="16">
        <v>183</v>
      </c>
      <c r="AH22" s="16">
        <v>0.84199999999999997</v>
      </c>
      <c r="AI22" s="16">
        <v>228</v>
      </c>
      <c r="AJ22" s="16">
        <v>189</v>
      </c>
      <c r="AK22" s="17">
        <f>Table32[[#This Row],[Experimental_length8]]/Table32[[#This Row],[Predicted_length7]]</f>
        <v>0.82894736842105265</v>
      </c>
    </row>
    <row r="23" spans="1:37" x14ac:dyDescent="0.2">
      <c r="A23" t="s">
        <v>348</v>
      </c>
      <c r="B23" t="s">
        <v>74</v>
      </c>
      <c r="C23">
        <v>1</v>
      </c>
      <c r="D23" t="s">
        <v>14</v>
      </c>
      <c r="E23" t="str">
        <f t="shared" si="1"/>
        <v>4B9H.A</v>
      </c>
      <c r="F23" t="s">
        <v>71</v>
      </c>
      <c r="G23" t="s">
        <v>72</v>
      </c>
      <c r="H23">
        <v>1</v>
      </c>
      <c r="I23" t="s">
        <v>332</v>
      </c>
      <c r="J23">
        <v>2.1</v>
      </c>
      <c r="K23" t="s">
        <v>333</v>
      </c>
      <c r="L23" t="s">
        <v>350</v>
      </c>
      <c r="M23" t="s">
        <v>75</v>
      </c>
      <c r="N23" s="16">
        <v>0.66747999999999996</v>
      </c>
      <c r="O23" s="16">
        <v>0.78885000000000005</v>
      </c>
      <c r="P23" s="16">
        <v>3.31</v>
      </c>
      <c r="Q23" s="16">
        <v>184</v>
      </c>
      <c r="R23" s="16">
        <v>0.83699999999999997</v>
      </c>
      <c r="S23" s="16">
        <v>228</v>
      </c>
      <c r="T23" s="16">
        <v>189</v>
      </c>
      <c r="U23" s="16">
        <f>Table32[[#This Row],[Experimental_length]]/Table32[[#This Row],[Predicted_length]]</f>
        <v>0.82894736842105265</v>
      </c>
      <c r="V23" s="16">
        <v>0.98724999999999996</v>
      </c>
      <c r="W23" s="16">
        <v>0.82006999999999997</v>
      </c>
      <c r="X23" s="16">
        <v>0.59</v>
      </c>
      <c r="Y23" s="16">
        <v>189</v>
      </c>
      <c r="Z23" s="16">
        <v>1</v>
      </c>
      <c r="AA23" s="16">
        <v>228</v>
      </c>
      <c r="AB23" s="16">
        <v>189</v>
      </c>
      <c r="AC23" s="16">
        <f>Table32[[#This Row],[Experimental_length9]]/Table32[[#This Row],[Predicted_length8]]</f>
        <v>0.82894736842105265</v>
      </c>
      <c r="AD23" s="16">
        <v>0.66796</v>
      </c>
      <c r="AE23" s="16">
        <v>0.79215999999999998</v>
      </c>
      <c r="AF23" s="16">
        <v>3.49</v>
      </c>
      <c r="AG23" s="16">
        <v>183</v>
      </c>
      <c r="AH23" s="16">
        <v>0.85199999999999998</v>
      </c>
      <c r="AI23" s="16">
        <v>228</v>
      </c>
      <c r="AJ23" s="16">
        <v>189</v>
      </c>
      <c r="AK23" s="17">
        <f>Table32[[#This Row],[Experimental_length8]]/Table32[[#This Row],[Predicted_length7]]</f>
        <v>0.82894736842105265</v>
      </c>
    </row>
    <row r="24" spans="1:37" x14ac:dyDescent="0.2">
      <c r="A24" t="s">
        <v>351</v>
      </c>
      <c r="B24" t="s">
        <v>76</v>
      </c>
      <c r="C24">
        <v>1</v>
      </c>
      <c r="D24" t="s">
        <v>77</v>
      </c>
      <c r="E24" t="str">
        <f t="shared" si="1"/>
        <v>4BJM.A</v>
      </c>
      <c r="F24" t="s">
        <v>78</v>
      </c>
      <c r="G24" t="s">
        <v>79</v>
      </c>
      <c r="H24">
        <v>1</v>
      </c>
      <c r="I24" t="s">
        <v>332</v>
      </c>
      <c r="J24">
        <v>2.6</v>
      </c>
      <c r="K24" t="s">
        <v>329</v>
      </c>
      <c r="L24" t="s">
        <v>352</v>
      </c>
      <c r="M24" t="s">
        <v>80</v>
      </c>
      <c r="N24" s="16">
        <v>0.41221000000000002</v>
      </c>
      <c r="O24" s="16">
        <v>0.43071999999999999</v>
      </c>
      <c r="P24" s="16">
        <v>4.3099999999999996</v>
      </c>
      <c r="Q24" s="16">
        <v>130</v>
      </c>
      <c r="R24" s="16">
        <v>0.623</v>
      </c>
      <c r="S24" s="16">
        <v>238</v>
      </c>
      <c r="T24" s="16">
        <v>226</v>
      </c>
      <c r="U24" s="16">
        <f>Table32[[#This Row],[Experimental_length]]/Table32[[#This Row],[Predicted_length]]</f>
        <v>0.94957983193277307</v>
      </c>
      <c r="V24" s="16"/>
      <c r="W24" s="16"/>
      <c r="X24" s="16"/>
      <c r="Y24" s="16"/>
      <c r="Z24" s="16"/>
      <c r="AA24" s="16"/>
      <c r="AB24" s="16"/>
      <c r="AC24" s="16" t="e">
        <f>Table32[[#This Row],[Experimental_length9]]/Table32[[#This Row],[Predicted_length8]]</f>
        <v>#DIV/0!</v>
      </c>
      <c r="AD24" s="16">
        <v>0.85585</v>
      </c>
      <c r="AE24" s="16">
        <v>0.89851999999999999</v>
      </c>
      <c r="AF24" s="16">
        <v>2.0499999999999998</v>
      </c>
      <c r="AG24" s="16">
        <v>221</v>
      </c>
      <c r="AH24" s="16">
        <v>0.98599999999999999</v>
      </c>
      <c r="AI24" s="16">
        <v>238</v>
      </c>
      <c r="AJ24" s="16">
        <v>226</v>
      </c>
      <c r="AK24" s="17">
        <f>Table32[[#This Row],[Experimental_length8]]/Table32[[#This Row],[Predicted_length7]]</f>
        <v>0.94957983193277307</v>
      </c>
    </row>
    <row r="25" spans="1:37" x14ac:dyDescent="0.2">
      <c r="A25" t="s">
        <v>351</v>
      </c>
      <c r="B25" t="s">
        <v>81</v>
      </c>
      <c r="C25">
        <v>1</v>
      </c>
      <c r="D25" t="s">
        <v>82</v>
      </c>
      <c r="E25" t="str">
        <f t="shared" si="1"/>
        <v>4BJN.A</v>
      </c>
      <c r="F25" t="s">
        <v>83</v>
      </c>
      <c r="G25" t="s">
        <v>79</v>
      </c>
      <c r="H25">
        <v>1</v>
      </c>
      <c r="I25" t="s">
        <v>332</v>
      </c>
      <c r="J25">
        <v>2.9</v>
      </c>
      <c r="K25" t="s">
        <v>333</v>
      </c>
      <c r="L25" t="s">
        <v>352</v>
      </c>
      <c r="M25" t="s">
        <v>80</v>
      </c>
      <c r="N25" s="16">
        <v>0.42662</v>
      </c>
      <c r="O25" s="16">
        <v>0.46160000000000001</v>
      </c>
      <c r="P25" s="16">
        <v>4.62</v>
      </c>
      <c r="Q25" s="16">
        <v>141</v>
      </c>
      <c r="R25" s="16">
        <v>0.51100000000000001</v>
      </c>
      <c r="S25" s="16">
        <v>244</v>
      </c>
      <c r="T25" s="16">
        <v>222</v>
      </c>
      <c r="U25" s="16">
        <f>Table32[[#This Row],[Experimental_length]]/Table32[[#This Row],[Predicted_length]]</f>
        <v>0.9098360655737705</v>
      </c>
      <c r="V25" s="16">
        <v>0.92051000000000005</v>
      </c>
      <c r="W25" s="16">
        <v>0.84252000000000005</v>
      </c>
      <c r="X25" s="16">
        <v>1.83</v>
      </c>
      <c r="Y25" s="16">
        <v>222</v>
      </c>
      <c r="Z25" s="16">
        <v>0.995</v>
      </c>
      <c r="AA25" s="16">
        <v>244</v>
      </c>
      <c r="AB25" s="16">
        <v>222</v>
      </c>
      <c r="AC25" s="16">
        <f>Table32[[#This Row],[Experimental_length9]]/Table32[[#This Row],[Predicted_length8]]</f>
        <v>0.9098360655737705</v>
      </c>
      <c r="AD25" s="16">
        <v>0.81535999999999997</v>
      </c>
      <c r="AE25" s="16">
        <v>0.89056000000000002</v>
      </c>
      <c r="AF25" s="16">
        <v>1.83</v>
      </c>
      <c r="AG25" s="16">
        <v>216</v>
      </c>
      <c r="AH25" s="16">
        <v>0.90300000000000002</v>
      </c>
      <c r="AI25" s="16">
        <v>244</v>
      </c>
      <c r="AJ25" s="16">
        <v>222</v>
      </c>
      <c r="AK25" s="17">
        <f>Table32[[#This Row],[Experimental_length8]]/Table32[[#This Row],[Predicted_length7]]</f>
        <v>0.9098360655737705</v>
      </c>
    </row>
    <row r="26" spans="1:37" x14ac:dyDescent="0.2">
      <c r="A26" t="s">
        <v>353</v>
      </c>
      <c r="B26" t="s">
        <v>84</v>
      </c>
      <c r="C26">
        <v>1</v>
      </c>
      <c r="D26" t="s">
        <v>77</v>
      </c>
      <c r="E26" t="str">
        <f t="shared" si="1"/>
        <v>4FPQ.A</v>
      </c>
      <c r="F26" t="s">
        <v>85</v>
      </c>
      <c r="G26" t="s">
        <v>86</v>
      </c>
      <c r="H26">
        <v>1</v>
      </c>
      <c r="I26" t="s">
        <v>332</v>
      </c>
      <c r="J26">
        <v>2.2999999999999998</v>
      </c>
      <c r="K26" t="s">
        <v>333</v>
      </c>
      <c r="L26" t="s">
        <v>354</v>
      </c>
      <c r="M26" t="s">
        <v>87</v>
      </c>
      <c r="N26" s="16">
        <v>0.67706999999999995</v>
      </c>
      <c r="O26" s="16">
        <v>0.68149999999999999</v>
      </c>
      <c r="P26" s="16">
        <v>3.2</v>
      </c>
      <c r="Q26" s="16">
        <v>113</v>
      </c>
      <c r="R26" s="16">
        <v>0.77</v>
      </c>
      <c r="S26" s="16">
        <v>131</v>
      </c>
      <c r="T26" s="16">
        <v>130</v>
      </c>
      <c r="U26" s="16">
        <f>Table32[[#This Row],[Experimental_length]]/Table32[[#This Row],[Predicted_length]]</f>
        <v>0.99236641221374045</v>
      </c>
      <c r="V26" s="16">
        <v>0.95804999999999996</v>
      </c>
      <c r="W26" s="16">
        <v>0.95079000000000002</v>
      </c>
      <c r="X26" s="16">
        <v>0.69</v>
      </c>
      <c r="Y26" s="16">
        <v>126</v>
      </c>
      <c r="Z26" s="16">
        <v>1</v>
      </c>
      <c r="AA26" s="16">
        <v>131</v>
      </c>
      <c r="AB26" s="16">
        <v>130</v>
      </c>
      <c r="AC26" s="16">
        <f>Table32[[#This Row],[Experimental_length9]]/Table32[[#This Row],[Predicted_length8]]</f>
        <v>0.99236641221374045</v>
      </c>
      <c r="AD26" s="16">
        <v>0.72652000000000005</v>
      </c>
      <c r="AE26" s="16">
        <v>0.73146999999999995</v>
      </c>
      <c r="AF26" s="16">
        <v>2.57</v>
      </c>
      <c r="AG26" s="16">
        <v>113</v>
      </c>
      <c r="AH26" s="16">
        <v>0.73499999999999999</v>
      </c>
      <c r="AI26" s="16">
        <v>131</v>
      </c>
      <c r="AJ26" s="16">
        <v>130</v>
      </c>
      <c r="AK26" s="17">
        <f>Table32[[#This Row],[Experimental_length8]]/Table32[[#This Row],[Predicted_length7]]</f>
        <v>0.99236641221374045</v>
      </c>
    </row>
    <row r="27" spans="1:37" x14ac:dyDescent="0.2">
      <c r="A27" t="s">
        <v>353</v>
      </c>
      <c r="B27" t="s">
        <v>88</v>
      </c>
      <c r="C27">
        <v>1</v>
      </c>
      <c r="D27" t="s">
        <v>77</v>
      </c>
      <c r="E27" t="str">
        <f t="shared" si="1"/>
        <v>4FPR.A</v>
      </c>
      <c r="F27" t="s">
        <v>85</v>
      </c>
      <c r="G27" t="s">
        <v>86</v>
      </c>
      <c r="H27">
        <v>1</v>
      </c>
      <c r="I27" t="s">
        <v>332</v>
      </c>
      <c r="J27">
        <v>2.4</v>
      </c>
      <c r="K27" t="s">
        <v>329</v>
      </c>
      <c r="L27" t="s">
        <v>354</v>
      </c>
      <c r="M27" t="s">
        <v>87</v>
      </c>
      <c r="N27" s="16">
        <v>0.67791000000000001</v>
      </c>
      <c r="O27" s="16">
        <v>0.68235000000000001</v>
      </c>
      <c r="P27" s="16">
        <v>3.2</v>
      </c>
      <c r="Q27" s="16">
        <v>113</v>
      </c>
      <c r="R27" s="16">
        <v>0.77</v>
      </c>
      <c r="S27" s="16">
        <v>131</v>
      </c>
      <c r="T27" s="16">
        <v>130</v>
      </c>
      <c r="U27" s="16">
        <f>Table32[[#This Row],[Experimental_length]]/Table32[[#This Row],[Predicted_length]]</f>
        <v>0.99236641221374045</v>
      </c>
      <c r="V27" s="16">
        <v>0.95867000000000002</v>
      </c>
      <c r="W27" s="16">
        <v>0.95140000000000002</v>
      </c>
      <c r="X27" s="16">
        <v>0.68</v>
      </c>
      <c r="Y27" s="16">
        <v>126</v>
      </c>
      <c r="Z27" s="16">
        <v>1</v>
      </c>
      <c r="AA27" s="16">
        <v>131</v>
      </c>
      <c r="AB27" s="16">
        <v>130</v>
      </c>
      <c r="AC27" s="16">
        <f>Table32[[#This Row],[Experimental_length9]]/Table32[[#This Row],[Predicted_length8]]</f>
        <v>0.99236641221374045</v>
      </c>
      <c r="AD27" s="16">
        <v>0.72033999999999998</v>
      </c>
      <c r="AE27" s="16">
        <v>0.72526000000000002</v>
      </c>
      <c r="AF27" s="16">
        <v>2.38</v>
      </c>
      <c r="AG27" s="16">
        <v>111</v>
      </c>
      <c r="AH27" s="16">
        <v>0.79300000000000004</v>
      </c>
      <c r="AI27" s="16">
        <v>131</v>
      </c>
      <c r="AJ27" s="16">
        <v>130</v>
      </c>
      <c r="AK27" s="17">
        <f>Table32[[#This Row],[Experimental_length8]]/Table32[[#This Row],[Predicted_length7]]</f>
        <v>0.99236641221374045</v>
      </c>
    </row>
    <row r="28" spans="1:37" x14ac:dyDescent="0.2">
      <c r="A28" t="s">
        <v>355</v>
      </c>
      <c r="B28" t="s">
        <v>89</v>
      </c>
      <c r="C28">
        <v>2</v>
      </c>
      <c r="D28" t="s">
        <v>14</v>
      </c>
      <c r="E28" t="str">
        <f t="shared" si="1"/>
        <v>4GVB.A</v>
      </c>
      <c r="F28" t="s">
        <v>90</v>
      </c>
      <c r="G28" t="s">
        <v>91</v>
      </c>
      <c r="H28">
        <v>1</v>
      </c>
      <c r="I28" t="s">
        <v>332</v>
      </c>
      <c r="J28">
        <v>1.8</v>
      </c>
      <c r="K28" t="s">
        <v>333</v>
      </c>
      <c r="L28" t="s">
        <v>356</v>
      </c>
      <c r="M28" t="s">
        <v>73</v>
      </c>
      <c r="N28" s="16">
        <v>0.79468000000000005</v>
      </c>
      <c r="O28" s="16">
        <v>0.82255</v>
      </c>
      <c r="P28" s="16">
        <v>2.1800000000000002</v>
      </c>
      <c r="Q28" s="16">
        <v>74</v>
      </c>
      <c r="R28" s="16">
        <v>1</v>
      </c>
      <c r="S28" s="16">
        <v>80</v>
      </c>
      <c r="T28" s="16">
        <v>77</v>
      </c>
      <c r="U28" s="16">
        <f>Table32[[#This Row],[Experimental_length]]/Table32[[#This Row],[Predicted_length]]</f>
        <v>0.96250000000000002</v>
      </c>
      <c r="V28" s="16">
        <v>0.73053999999999997</v>
      </c>
      <c r="W28" s="16">
        <v>0.70767000000000002</v>
      </c>
      <c r="X28" s="16">
        <v>2.68</v>
      </c>
      <c r="Y28" s="16">
        <v>72</v>
      </c>
      <c r="Z28" s="16">
        <v>0.86099999999999999</v>
      </c>
      <c r="AA28" s="16">
        <v>80</v>
      </c>
      <c r="AB28" s="16">
        <v>77</v>
      </c>
      <c r="AC28" s="16">
        <f>Table32[[#This Row],[Experimental_length9]]/Table32[[#This Row],[Predicted_length8]]</f>
        <v>0.96250000000000002</v>
      </c>
      <c r="AD28" s="16">
        <v>0.74134999999999995</v>
      </c>
      <c r="AE28" s="16">
        <v>0.76651999999999998</v>
      </c>
      <c r="AF28" s="16">
        <v>2.25</v>
      </c>
      <c r="AG28" s="16">
        <v>71</v>
      </c>
      <c r="AH28" s="16">
        <v>0.77500000000000002</v>
      </c>
      <c r="AI28" s="16">
        <v>80</v>
      </c>
      <c r="AJ28" s="16">
        <v>77</v>
      </c>
      <c r="AK28" s="17">
        <f>Table32[[#This Row],[Experimental_length8]]/Table32[[#This Row],[Predicted_length7]]</f>
        <v>0.96250000000000002</v>
      </c>
    </row>
    <row r="29" spans="1:37" x14ac:dyDescent="0.2">
      <c r="A29" t="s">
        <v>355</v>
      </c>
      <c r="B29" t="s">
        <v>92</v>
      </c>
      <c r="C29">
        <v>2</v>
      </c>
      <c r="D29" t="s">
        <v>19</v>
      </c>
      <c r="E29" t="str">
        <f t="shared" si="1"/>
        <v>4GVB.B</v>
      </c>
      <c r="F29" t="s">
        <v>93</v>
      </c>
      <c r="G29" t="s">
        <v>91</v>
      </c>
      <c r="H29">
        <v>1</v>
      </c>
      <c r="I29" t="s">
        <v>332</v>
      </c>
      <c r="J29">
        <v>1.8</v>
      </c>
      <c r="K29" t="s">
        <v>333</v>
      </c>
      <c r="L29" t="s">
        <v>356</v>
      </c>
      <c r="M29" t="s">
        <v>73</v>
      </c>
      <c r="N29" s="16">
        <v>0.86446999999999996</v>
      </c>
      <c r="O29" s="16">
        <v>0.94089999999999996</v>
      </c>
      <c r="P29" s="16">
        <v>0.83</v>
      </c>
      <c r="Q29" s="16">
        <v>74</v>
      </c>
      <c r="R29" s="16">
        <v>1</v>
      </c>
      <c r="S29" s="16">
        <v>81</v>
      </c>
      <c r="T29" s="16">
        <v>74</v>
      </c>
      <c r="U29" s="16">
        <f>Table32[[#This Row],[Experimental_length]]/Table32[[#This Row],[Predicted_length]]</f>
        <v>0.9135802469135802</v>
      </c>
      <c r="V29" s="16">
        <v>0.52569999999999995</v>
      </c>
      <c r="W29" s="16">
        <v>0.49752000000000002</v>
      </c>
      <c r="X29" s="16">
        <v>3.37</v>
      </c>
      <c r="Y29" s="16">
        <v>67</v>
      </c>
      <c r="Z29" s="16">
        <v>0.373</v>
      </c>
      <c r="AA29" s="16">
        <v>81</v>
      </c>
      <c r="AB29" s="16">
        <v>74</v>
      </c>
      <c r="AC29" s="16">
        <f>Table32[[#This Row],[Experimental_length9]]/Table32[[#This Row],[Predicted_length8]]</f>
        <v>0.9135802469135802</v>
      </c>
      <c r="AD29" s="16">
        <v>0.28895999999999999</v>
      </c>
      <c r="AE29" s="16">
        <v>0.30277999999999999</v>
      </c>
      <c r="AF29" s="16">
        <v>4.2300000000000004</v>
      </c>
      <c r="AG29" s="16">
        <v>46</v>
      </c>
      <c r="AH29" s="16">
        <v>0.13</v>
      </c>
      <c r="AI29" s="16">
        <v>81</v>
      </c>
      <c r="AJ29" s="16">
        <v>74</v>
      </c>
      <c r="AK29" s="17">
        <f>Table32[[#This Row],[Experimental_length8]]/Table32[[#This Row],[Predicted_length7]]</f>
        <v>0.9135802469135802</v>
      </c>
    </row>
    <row r="30" spans="1:37" x14ac:dyDescent="0.2">
      <c r="A30" t="s">
        <v>357</v>
      </c>
      <c r="B30" t="s">
        <v>94</v>
      </c>
      <c r="C30">
        <v>1</v>
      </c>
      <c r="D30" t="s">
        <v>26</v>
      </c>
      <c r="E30" t="str">
        <f t="shared" si="1"/>
        <v>4Z4A.A</v>
      </c>
      <c r="F30" t="s">
        <v>95</v>
      </c>
      <c r="G30" t="s">
        <v>96</v>
      </c>
      <c r="H30">
        <v>1</v>
      </c>
      <c r="I30" t="s">
        <v>332</v>
      </c>
      <c r="J30">
        <v>1.7</v>
      </c>
      <c r="K30" t="s">
        <v>329</v>
      </c>
      <c r="L30" t="s">
        <v>358</v>
      </c>
      <c r="M30" t="s">
        <v>97</v>
      </c>
      <c r="N30" s="16">
        <v>0.59402999999999995</v>
      </c>
      <c r="O30" s="16">
        <v>0.95198000000000005</v>
      </c>
      <c r="P30" s="16">
        <v>0.73</v>
      </c>
      <c r="Q30" s="16">
        <v>74</v>
      </c>
      <c r="R30" s="16">
        <v>0.97299999999999998</v>
      </c>
      <c r="S30" s="16">
        <v>121</v>
      </c>
      <c r="T30" s="16">
        <v>74</v>
      </c>
      <c r="U30" s="16">
        <f>Table32[[#This Row],[Experimental_length]]/Table32[[#This Row],[Predicted_length]]</f>
        <v>0.61157024793388426</v>
      </c>
      <c r="V30" s="16">
        <v>0.97214</v>
      </c>
      <c r="W30" s="16">
        <v>0.60172000000000003</v>
      </c>
      <c r="X30" s="16">
        <v>0.53</v>
      </c>
      <c r="Y30" s="16">
        <v>74</v>
      </c>
      <c r="Z30" s="16">
        <v>1</v>
      </c>
      <c r="AA30" s="16">
        <v>121</v>
      </c>
      <c r="AB30" s="16">
        <v>74</v>
      </c>
      <c r="AC30" s="16">
        <f>Table32[[#This Row],[Experimental_length9]]/Table32[[#This Row],[Predicted_length8]]</f>
        <v>0.61157024793388426</v>
      </c>
      <c r="AD30" s="16">
        <v>0.59741999999999995</v>
      </c>
      <c r="AE30" s="16">
        <v>0.96004999999999996</v>
      </c>
      <c r="AF30" s="16">
        <v>0.64</v>
      </c>
      <c r="AG30" s="16">
        <v>74</v>
      </c>
      <c r="AH30" s="16">
        <v>1</v>
      </c>
      <c r="AI30" s="16">
        <v>121</v>
      </c>
      <c r="AJ30" s="16">
        <v>74</v>
      </c>
      <c r="AK30" s="17">
        <f>Table32[[#This Row],[Experimental_length8]]/Table32[[#This Row],[Predicted_length7]]</f>
        <v>0.61157024793388426</v>
      </c>
    </row>
    <row r="31" spans="1:37" x14ac:dyDescent="0.2">
      <c r="A31" t="s">
        <v>340</v>
      </c>
      <c r="B31" t="s">
        <v>102</v>
      </c>
      <c r="C31">
        <v>2</v>
      </c>
      <c r="D31" t="s">
        <v>68</v>
      </c>
      <c r="E31" t="str">
        <f t="shared" si="1"/>
        <v>5A6W.C</v>
      </c>
      <c r="F31" t="s">
        <v>103</v>
      </c>
      <c r="G31" t="s">
        <v>104</v>
      </c>
      <c r="H31">
        <v>1</v>
      </c>
      <c r="I31" t="s">
        <v>332</v>
      </c>
      <c r="J31">
        <v>1.6</v>
      </c>
      <c r="K31" t="s">
        <v>333</v>
      </c>
      <c r="L31" t="s">
        <v>359</v>
      </c>
      <c r="M31" t="s">
        <v>101</v>
      </c>
      <c r="N31" s="16">
        <v>0.73897999999999997</v>
      </c>
      <c r="O31" s="16">
        <v>0.81918000000000002</v>
      </c>
      <c r="P31" s="16">
        <v>1.89</v>
      </c>
      <c r="Q31" s="16">
        <v>78</v>
      </c>
      <c r="R31" s="16">
        <v>0.84599999999999997</v>
      </c>
      <c r="S31" s="16">
        <v>93</v>
      </c>
      <c r="T31" s="16">
        <v>83</v>
      </c>
      <c r="U31" s="16">
        <f>Table32[[#This Row],[Experimental_length]]/Table32[[#This Row],[Predicted_length]]</f>
        <v>0.89247311827956988</v>
      </c>
      <c r="V31" s="16">
        <v>0.96606000000000003</v>
      </c>
      <c r="W31" s="16">
        <v>0.86482000000000003</v>
      </c>
      <c r="X31" s="16">
        <v>0.86</v>
      </c>
      <c r="Y31" s="16">
        <v>83</v>
      </c>
      <c r="Z31" s="16">
        <v>1</v>
      </c>
      <c r="AA31" s="16">
        <v>93</v>
      </c>
      <c r="AB31" s="16">
        <v>83</v>
      </c>
      <c r="AC31" s="16">
        <f>Table32[[#This Row],[Experimental_length9]]/Table32[[#This Row],[Predicted_length8]]</f>
        <v>0.89247311827956988</v>
      </c>
      <c r="AD31" s="16">
        <v>0.86953000000000003</v>
      </c>
      <c r="AE31" s="16">
        <v>0.97223000000000004</v>
      </c>
      <c r="AF31" s="16">
        <v>0.89</v>
      </c>
      <c r="AG31" s="16">
        <v>83</v>
      </c>
      <c r="AH31" s="16">
        <v>1</v>
      </c>
      <c r="AI31" s="16">
        <v>93</v>
      </c>
      <c r="AJ31" s="16">
        <v>83</v>
      </c>
      <c r="AK31" s="17">
        <f>Table32[[#This Row],[Experimental_length8]]/Table32[[#This Row],[Predicted_length7]]</f>
        <v>0.89247311827956988</v>
      </c>
    </row>
    <row r="32" spans="1:37" x14ac:dyDescent="0.2">
      <c r="A32" t="s">
        <v>360</v>
      </c>
      <c r="B32" t="s">
        <v>105</v>
      </c>
      <c r="C32">
        <v>1</v>
      </c>
      <c r="D32" t="s">
        <v>26</v>
      </c>
      <c r="E32" t="str">
        <f t="shared" si="1"/>
        <v>5FID.A</v>
      </c>
      <c r="F32" t="s">
        <v>106</v>
      </c>
      <c r="G32" t="s">
        <v>38</v>
      </c>
      <c r="H32">
        <v>1</v>
      </c>
      <c r="I32" t="s">
        <v>332</v>
      </c>
      <c r="J32">
        <v>1.8089999999999999</v>
      </c>
      <c r="K32" t="s">
        <v>329</v>
      </c>
      <c r="L32" t="s">
        <v>361</v>
      </c>
      <c r="M32" t="s">
        <v>107</v>
      </c>
      <c r="N32" s="16">
        <v>0.43451000000000001</v>
      </c>
      <c r="O32" s="16">
        <v>0.97865999999999997</v>
      </c>
      <c r="P32" s="16">
        <v>0.39</v>
      </c>
      <c r="Q32" s="16">
        <v>60</v>
      </c>
      <c r="R32" s="16">
        <v>1</v>
      </c>
      <c r="S32" s="16">
        <v>137</v>
      </c>
      <c r="T32" s="16">
        <v>60</v>
      </c>
      <c r="U32" s="16">
        <f>Table32[[#This Row],[Experimental_length]]/Table32[[#This Row],[Predicted_length]]</f>
        <v>0.43795620437956206</v>
      </c>
      <c r="V32" s="16">
        <v>0.99019000000000001</v>
      </c>
      <c r="W32" s="16">
        <v>0.96157000000000004</v>
      </c>
      <c r="X32" s="16">
        <v>0.43</v>
      </c>
      <c r="Y32" s="16">
        <v>133</v>
      </c>
      <c r="Z32" s="16">
        <v>1</v>
      </c>
      <c r="AA32" s="16">
        <v>137</v>
      </c>
      <c r="AB32" s="16">
        <v>133</v>
      </c>
      <c r="AC32" s="16">
        <f>Table32[[#This Row],[Experimental_length9]]/Table32[[#This Row],[Predicted_length8]]</f>
        <v>0.97080291970802923</v>
      </c>
      <c r="AD32" s="16">
        <v>0.433</v>
      </c>
      <c r="AE32" s="16">
        <v>0.97407999999999995</v>
      </c>
      <c r="AF32" s="16">
        <v>0.5</v>
      </c>
      <c r="AG32" s="16">
        <v>60</v>
      </c>
      <c r="AH32" s="16">
        <v>1</v>
      </c>
      <c r="AI32" s="16">
        <v>137</v>
      </c>
      <c r="AJ32" s="16">
        <v>60</v>
      </c>
      <c r="AK32" s="17">
        <f>Table32[[#This Row],[Experimental_length8]]/Table32[[#This Row],[Predicted_length7]]</f>
        <v>0.43795620437956206</v>
      </c>
    </row>
    <row r="33" spans="1:37" x14ac:dyDescent="0.2">
      <c r="A33" t="s">
        <v>327</v>
      </c>
      <c r="B33" t="s">
        <v>108</v>
      </c>
      <c r="C33">
        <v>1</v>
      </c>
      <c r="D33" t="s">
        <v>26</v>
      </c>
      <c r="E33" t="str">
        <f t="shared" si="1"/>
        <v>5FNO.A</v>
      </c>
      <c r="F33" t="s">
        <v>109</v>
      </c>
      <c r="G33" t="s">
        <v>104</v>
      </c>
      <c r="H33">
        <v>1</v>
      </c>
      <c r="I33" t="s">
        <v>332</v>
      </c>
      <c r="J33">
        <v>2.0379999999999998</v>
      </c>
      <c r="K33" t="s">
        <v>329</v>
      </c>
      <c r="L33" t="s">
        <v>362</v>
      </c>
      <c r="M33" t="s">
        <v>110</v>
      </c>
      <c r="N33" s="16">
        <v>0.91459000000000001</v>
      </c>
      <c r="O33" s="16">
        <v>0.97292000000000001</v>
      </c>
      <c r="P33" s="16">
        <v>1.47</v>
      </c>
      <c r="Q33" s="16">
        <v>568</v>
      </c>
      <c r="R33" s="16">
        <v>1</v>
      </c>
      <c r="S33" s="16">
        <v>605</v>
      </c>
      <c r="T33" s="16">
        <v>568</v>
      </c>
      <c r="U33" s="16">
        <f>Table32[[#This Row],[Experimental_length]]/Table32[[#This Row],[Predicted_length]]</f>
        <v>0.93884297520661153</v>
      </c>
      <c r="V33" s="16">
        <v>0.99666999999999994</v>
      </c>
      <c r="W33" s="16">
        <v>0.93586999999999998</v>
      </c>
      <c r="X33" s="16">
        <v>0.49</v>
      </c>
      <c r="Y33" s="16">
        <v>568</v>
      </c>
      <c r="Z33" s="16">
        <v>1</v>
      </c>
      <c r="AA33" s="16">
        <v>605</v>
      </c>
      <c r="AB33" s="16">
        <v>568</v>
      </c>
      <c r="AC33" s="16">
        <f>Table32[[#This Row],[Experimental_length9]]/Table32[[#This Row],[Predicted_length8]]</f>
        <v>0.93884297520661153</v>
      </c>
      <c r="AD33" s="16">
        <v>0.93642999999999998</v>
      </c>
      <c r="AE33" s="16">
        <v>0.99729000000000001</v>
      </c>
      <c r="AF33" s="16">
        <v>0.44</v>
      </c>
      <c r="AG33" s="16">
        <v>568</v>
      </c>
      <c r="AH33" s="16">
        <v>1</v>
      </c>
      <c r="AI33" s="16">
        <v>605</v>
      </c>
      <c r="AJ33" s="16">
        <v>568</v>
      </c>
      <c r="AK33" s="17">
        <f>Table32[[#This Row],[Experimental_length8]]/Table32[[#This Row],[Predicted_length7]]</f>
        <v>0.93884297520661153</v>
      </c>
    </row>
    <row r="34" spans="1:37" x14ac:dyDescent="0.2">
      <c r="A34" t="s">
        <v>340</v>
      </c>
      <c r="B34" t="s">
        <v>111</v>
      </c>
      <c r="C34">
        <v>1</v>
      </c>
      <c r="D34" t="s">
        <v>14</v>
      </c>
      <c r="E34" t="str">
        <f t="shared" si="1"/>
        <v>5JHJ.A</v>
      </c>
      <c r="F34" t="s">
        <v>112</v>
      </c>
      <c r="G34" t="s">
        <v>38</v>
      </c>
      <c r="H34">
        <v>1</v>
      </c>
      <c r="I34" t="s">
        <v>328</v>
      </c>
      <c r="J34">
        <v>0</v>
      </c>
      <c r="K34" t="s">
        <v>333</v>
      </c>
      <c r="L34" t="s">
        <v>363</v>
      </c>
      <c r="M34" t="s">
        <v>113</v>
      </c>
      <c r="N34" s="16">
        <v>0.5675</v>
      </c>
      <c r="O34" s="16">
        <v>0.67896999999999996</v>
      </c>
      <c r="P34" s="16">
        <v>1.82</v>
      </c>
      <c r="Q34" s="16">
        <v>64</v>
      </c>
      <c r="R34" s="16">
        <v>1</v>
      </c>
      <c r="S34" s="16">
        <v>97</v>
      </c>
      <c r="T34" s="16">
        <v>79</v>
      </c>
      <c r="U34" s="16">
        <f>Table32[[#This Row],[Experimental_length]]/Table32[[#This Row],[Predicted_length]]</f>
        <v>0.81443298969072164</v>
      </c>
      <c r="V34" s="16">
        <v>0.75146000000000002</v>
      </c>
      <c r="W34" s="16">
        <v>0.62231000000000003</v>
      </c>
      <c r="X34" s="16">
        <v>1.5</v>
      </c>
      <c r="Y34" s="16">
        <v>66</v>
      </c>
      <c r="Z34" s="16">
        <v>1</v>
      </c>
      <c r="AA34" s="16">
        <v>97</v>
      </c>
      <c r="AB34" s="16">
        <v>79</v>
      </c>
      <c r="AC34" s="16">
        <f>Table32[[#This Row],[Experimental_length9]]/Table32[[#This Row],[Predicted_length8]]</f>
        <v>0.81443298969072164</v>
      </c>
      <c r="AD34" s="16">
        <v>0.61639999999999995</v>
      </c>
      <c r="AE34" s="16">
        <v>0.74334999999999996</v>
      </c>
      <c r="AF34" s="16">
        <v>1.58</v>
      </c>
      <c r="AG34" s="16">
        <v>66</v>
      </c>
      <c r="AH34" s="16">
        <v>1</v>
      </c>
      <c r="AI34" s="16">
        <v>97</v>
      </c>
      <c r="AJ34" s="16">
        <v>79</v>
      </c>
      <c r="AK34" s="17">
        <f>Table32[[#This Row],[Experimental_length8]]/Table32[[#This Row],[Predicted_length7]]</f>
        <v>0.81443298969072164</v>
      </c>
    </row>
    <row r="35" spans="1:37" x14ac:dyDescent="0.2">
      <c r="A35" t="s">
        <v>327</v>
      </c>
      <c r="B35" t="s">
        <v>114</v>
      </c>
      <c r="C35">
        <v>1</v>
      </c>
      <c r="D35" t="s">
        <v>14</v>
      </c>
      <c r="E35" t="str">
        <f t="shared" si="1"/>
        <v>5LOS.A</v>
      </c>
      <c r="F35" t="s">
        <v>115</v>
      </c>
      <c r="G35" t="s">
        <v>116</v>
      </c>
      <c r="H35">
        <v>1</v>
      </c>
      <c r="I35" t="s">
        <v>332</v>
      </c>
      <c r="J35">
        <v>2</v>
      </c>
      <c r="K35" t="s">
        <v>333</v>
      </c>
      <c r="L35" t="s">
        <v>364</v>
      </c>
      <c r="M35" t="s">
        <v>117</v>
      </c>
      <c r="N35" s="16">
        <v>0.74897999999999998</v>
      </c>
      <c r="O35" s="16">
        <v>0.99043999999999999</v>
      </c>
      <c r="P35" s="16">
        <v>0.34</v>
      </c>
      <c r="Q35" s="16">
        <v>89</v>
      </c>
      <c r="R35" s="16">
        <v>0.98899999999999999</v>
      </c>
      <c r="S35" s="16">
        <v>118</v>
      </c>
      <c r="T35" s="16">
        <v>89</v>
      </c>
      <c r="U35" s="16">
        <f>Table32[[#This Row],[Experimental_length]]/Table32[[#This Row],[Predicted_length]]</f>
        <v>0.75423728813559321</v>
      </c>
      <c r="V35" s="16">
        <v>0.97114999999999996</v>
      </c>
      <c r="W35" s="16">
        <v>0.73811000000000004</v>
      </c>
      <c r="X35" s="16">
        <v>0.61</v>
      </c>
      <c r="Y35" s="16">
        <v>89</v>
      </c>
      <c r="Z35" s="16">
        <v>0.98899999999999999</v>
      </c>
      <c r="AA35" s="16">
        <v>118</v>
      </c>
      <c r="AB35" s="16">
        <v>89</v>
      </c>
      <c r="AC35" s="16">
        <f>Table32[[#This Row],[Experimental_length9]]/Table32[[#This Row],[Predicted_length8]]</f>
        <v>0.75423728813559321</v>
      </c>
      <c r="AD35" s="16">
        <v>0.74443999999999999</v>
      </c>
      <c r="AE35" s="16">
        <v>0.98236999999999997</v>
      </c>
      <c r="AF35" s="16">
        <v>0.47</v>
      </c>
      <c r="AG35" s="16">
        <v>89</v>
      </c>
      <c r="AH35" s="16">
        <v>0.98899999999999999</v>
      </c>
      <c r="AI35" s="16">
        <v>118</v>
      </c>
      <c r="AJ35" s="16">
        <v>89</v>
      </c>
      <c r="AK35" s="17">
        <f>Table32[[#This Row],[Experimental_length8]]/Table32[[#This Row],[Predicted_length7]]</f>
        <v>0.75423728813559321</v>
      </c>
    </row>
    <row r="36" spans="1:37" x14ac:dyDescent="0.2">
      <c r="A36" t="s">
        <v>335</v>
      </c>
      <c r="B36" t="s">
        <v>118</v>
      </c>
      <c r="C36">
        <v>1</v>
      </c>
      <c r="D36" t="s">
        <v>14</v>
      </c>
      <c r="E36" t="str">
        <f t="shared" si="1"/>
        <v>5OD4.A</v>
      </c>
      <c r="F36" t="s">
        <v>119</v>
      </c>
      <c r="G36" t="s">
        <v>16</v>
      </c>
      <c r="H36">
        <v>1</v>
      </c>
      <c r="I36" t="s">
        <v>332</v>
      </c>
      <c r="J36">
        <v>1.1000000000000001</v>
      </c>
      <c r="K36" t="s">
        <v>365</v>
      </c>
      <c r="L36" t="s">
        <v>366</v>
      </c>
      <c r="M36" t="s">
        <v>120</v>
      </c>
      <c r="N36" s="16">
        <v>0.84596000000000005</v>
      </c>
      <c r="O36" s="16">
        <v>0.87119000000000002</v>
      </c>
      <c r="P36" s="16">
        <v>2.02</v>
      </c>
      <c r="Q36" s="16">
        <v>121</v>
      </c>
      <c r="R36" s="16">
        <v>1</v>
      </c>
      <c r="S36" s="16">
        <v>128</v>
      </c>
      <c r="T36" s="16">
        <v>124</v>
      </c>
      <c r="U36" s="16">
        <f>Table32[[#This Row],[Experimental_length]]/Table32[[#This Row],[Predicted_length]]</f>
        <v>0.96875</v>
      </c>
      <c r="V36" s="16">
        <v>0.87892000000000003</v>
      </c>
      <c r="W36" s="16">
        <v>0.85360999999999998</v>
      </c>
      <c r="X36" s="16">
        <v>1.89</v>
      </c>
      <c r="Y36" s="16">
        <v>122</v>
      </c>
      <c r="Z36" s="16">
        <v>0.96699999999999997</v>
      </c>
      <c r="AA36" s="16">
        <v>128</v>
      </c>
      <c r="AB36" s="16">
        <v>124</v>
      </c>
      <c r="AC36" s="16">
        <f>Table32[[#This Row],[Experimental_length9]]/Table32[[#This Row],[Predicted_length8]]</f>
        <v>0.96875</v>
      </c>
      <c r="AD36" s="16">
        <v>0.89200000000000002</v>
      </c>
      <c r="AE36" s="16">
        <v>0.91925000000000001</v>
      </c>
      <c r="AF36" s="16">
        <v>1.33</v>
      </c>
      <c r="AG36" s="16">
        <v>122</v>
      </c>
      <c r="AH36" s="16">
        <v>0.95099999999999996</v>
      </c>
      <c r="AI36" s="16">
        <v>128</v>
      </c>
      <c r="AJ36" s="16">
        <v>124</v>
      </c>
      <c r="AK36" s="17">
        <f>Table32[[#This Row],[Experimental_length8]]/Table32[[#This Row],[Predicted_length7]]</f>
        <v>0.96875</v>
      </c>
    </row>
    <row r="37" spans="1:37" x14ac:dyDescent="0.2">
      <c r="A37" t="s">
        <v>327</v>
      </c>
      <c r="B37" t="s">
        <v>121</v>
      </c>
      <c r="C37">
        <v>1</v>
      </c>
      <c r="D37" t="s">
        <v>26</v>
      </c>
      <c r="E37" t="str">
        <f t="shared" si="1"/>
        <v>5VJJ.A</v>
      </c>
      <c r="F37" t="s">
        <v>122</v>
      </c>
      <c r="G37" t="s">
        <v>59</v>
      </c>
      <c r="H37">
        <v>1</v>
      </c>
      <c r="I37" t="s">
        <v>332</v>
      </c>
      <c r="J37">
        <v>2.52</v>
      </c>
      <c r="K37" t="s">
        <v>329</v>
      </c>
      <c r="L37" t="s">
        <v>367</v>
      </c>
      <c r="M37" t="s">
        <v>123</v>
      </c>
      <c r="N37" s="16">
        <v>0.20608000000000001</v>
      </c>
      <c r="O37" s="16">
        <v>0.22303999999999999</v>
      </c>
      <c r="P37" s="16">
        <v>4.7699999999999996</v>
      </c>
      <c r="Q37" s="16">
        <v>40</v>
      </c>
      <c r="R37" s="16">
        <v>2.5000000000000001E-2</v>
      </c>
      <c r="S37" s="16">
        <v>91</v>
      </c>
      <c r="T37" s="16">
        <v>77</v>
      </c>
      <c r="U37" s="16">
        <f>Table32[[#This Row],[Experimental_length]]/Table32[[#This Row],[Predicted_length]]</f>
        <v>0.84615384615384615</v>
      </c>
      <c r="V37" s="16">
        <v>0.46226</v>
      </c>
      <c r="W37" s="16">
        <v>0.40927000000000002</v>
      </c>
      <c r="X37" s="16">
        <v>3.43</v>
      </c>
      <c r="Y37" s="16">
        <v>55</v>
      </c>
      <c r="Z37" s="16">
        <v>0.67300000000000004</v>
      </c>
      <c r="AA37" s="16">
        <v>91</v>
      </c>
      <c r="AB37" s="16">
        <v>77</v>
      </c>
      <c r="AC37" s="16">
        <f>Table32[[#This Row],[Experimental_length9]]/Table32[[#This Row],[Predicted_length8]]</f>
        <v>0.84615384615384615</v>
      </c>
      <c r="AD37" s="16">
        <v>0.52373000000000003</v>
      </c>
      <c r="AE37" s="16">
        <v>0.60348000000000002</v>
      </c>
      <c r="AF37" s="16">
        <v>2.3199999999999998</v>
      </c>
      <c r="AG37" s="16">
        <v>58</v>
      </c>
      <c r="AH37" s="16">
        <v>0.81</v>
      </c>
      <c r="AI37" s="16">
        <v>91</v>
      </c>
      <c r="AJ37" s="16">
        <v>77</v>
      </c>
      <c r="AK37" s="17">
        <f>Table32[[#This Row],[Experimental_length8]]/Table32[[#This Row],[Predicted_length7]]</f>
        <v>0.84615384615384615</v>
      </c>
    </row>
    <row r="38" spans="1:37" x14ac:dyDescent="0.2">
      <c r="A38" t="s">
        <v>368</v>
      </c>
      <c r="B38" t="s">
        <v>124</v>
      </c>
      <c r="C38">
        <v>1</v>
      </c>
      <c r="D38" t="s">
        <v>14</v>
      </c>
      <c r="E38" t="str">
        <f t="shared" si="1"/>
        <v>5XMZ.A</v>
      </c>
      <c r="F38" t="s">
        <v>125</v>
      </c>
      <c r="G38" t="s">
        <v>126</v>
      </c>
      <c r="H38">
        <v>1</v>
      </c>
      <c r="I38" t="s">
        <v>332</v>
      </c>
      <c r="J38">
        <v>1.85</v>
      </c>
      <c r="K38" t="s">
        <v>329</v>
      </c>
      <c r="L38" t="s">
        <v>369</v>
      </c>
      <c r="M38" t="s">
        <v>127</v>
      </c>
      <c r="N38" s="16">
        <v>0.73416999999999999</v>
      </c>
      <c r="O38" s="16">
        <v>0.92569999999999997</v>
      </c>
      <c r="P38" s="16">
        <v>1.42</v>
      </c>
      <c r="Q38" s="16">
        <v>119</v>
      </c>
      <c r="R38" s="16">
        <v>1</v>
      </c>
      <c r="S38" s="16">
        <v>155</v>
      </c>
      <c r="T38" s="16">
        <v>122</v>
      </c>
      <c r="U38" s="16">
        <f>Table32[[#This Row],[Experimental_length]]/Table32[[#This Row],[Predicted_length]]</f>
        <v>0.7870967741935484</v>
      </c>
      <c r="V38" s="16">
        <v>0.96394999999999997</v>
      </c>
      <c r="W38" s="16">
        <v>0.76275000000000004</v>
      </c>
      <c r="X38" s="16">
        <v>0.79</v>
      </c>
      <c r="Y38" s="16">
        <v>121</v>
      </c>
      <c r="Z38" s="16">
        <v>0.99199999999999999</v>
      </c>
      <c r="AA38" s="16">
        <v>155</v>
      </c>
      <c r="AB38" s="16">
        <v>122</v>
      </c>
      <c r="AC38" s="16">
        <f>Table32[[#This Row],[Experimental_length9]]/Table32[[#This Row],[Predicted_length8]]</f>
        <v>0.7870967741935484</v>
      </c>
      <c r="AD38" s="16">
        <v>0.75895999999999997</v>
      </c>
      <c r="AE38" s="16">
        <v>0.95792999999999995</v>
      </c>
      <c r="AF38" s="16">
        <v>0.85</v>
      </c>
      <c r="AG38" s="16">
        <v>121</v>
      </c>
      <c r="AH38" s="16">
        <v>0.99199999999999999</v>
      </c>
      <c r="AI38" s="16">
        <v>155</v>
      </c>
      <c r="AJ38" s="16">
        <v>122</v>
      </c>
      <c r="AK38" s="17">
        <f>Table32[[#This Row],[Experimental_length8]]/Table32[[#This Row],[Predicted_length7]]</f>
        <v>0.7870967741935484</v>
      </c>
    </row>
    <row r="39" spans="1:37" x14ac:dyDescent="0.2">
      <c r="A39" t="s">
        <v>337</v>
      </c>
      <c r="B39" t="s">
        <v>128</v>
      </c>
      <c r="C39">
        <v>1</v>
      </c>
      <c r="D39" t="s">
        <v>77</v>
      </c>
      <c r="E39" t="str">
        <f t="shared" si="1"/>
        <v>5Z1V.A</v>
      </c>
      <c r="F39" t="s">
        <v>129</v>
      </c>
      <c r="G39" t="s">
        <v>38</v>
      </c>
      <c r="H39">
        <v>1</v>
      </c>
      <c r="I39" t="s">
        <v>332</v>
      </c>
      <c r="J39">
        <v>1.66</v>
      </c>
      <c r="K39" t="s">
        <v>329</v>
      </c>
      <c r="L39" t="s">
        <v>367</v>
      </c>
      <c r="M39" t="s">
        <v>130</v>
      </c>
      <c r="N39" s="16">
        <v>4.6870000000000002E-2</v>
      </c>
      <c r="O39" s="16">
        <v>0.99968000000000001</v>
      </c>
      <c r="P39" s="16">
        <v>0.01</v>
      </c>
      <c r="Q39" s="16">
        <v>3</v>
      </c>
      <c r="R39" s="16">
        <v>0.33300000000000002</v>
      </c>
      <c r="S39" s="16">
        <v>64</v>
      </c>
      <c r="T39" s="16">
        <v>3</v>
      </c>
      <c r="U39" s="16">
        <f>Table32[[#This Row],[Experimental_length]]/Table32[[#This Row],[Predicted_length]]</f>
        <v>4.6875E-2</v>
      </c>
      <c r="V39" s="16">
        <v>0.91683999999999999</v>
      </c>
      <c r="W39" s="16">
        <v>0.80732000000000004</v>
      </c>
      <c r="X39" s="16">
        <v>0.74</v>
      </c>
      <c r="Y39" s="16">
        <v>54</v>
      </c>
      <c r="Z39" s="16">
        <v>1</v>
      </c>
      <c r="AA39" s="16">
        <v>64</v>
      </c>
      <c r="AB39" s="16">
        <v>56</v>
      </c>
      <c r="AC39" s="16">
        <f>Table32[[#This Row],[Experimental_length9]]/Table32[[#This Row],[Predicted_length8]]</f>
        <v>0.875</v>
      </c>
      <c r="AD39" s="16">
        <v>4.6870000000000002E-2</v>
      </c>
      <c r="AE39" s="16">
        <v>0.99973000000000001</v>
      </c>
      <c r="AF39" s="16">
        <v>0.01</v>
      </c>
      <c r="AG39" s="16">
        <v>3</v>
      </c>
      <c r="AH39" s="16">
        <v>0</v>
      </c>
      <c r="AI39" s="16">
        <v>64</v>
      </c>
      <c r="AJ39" s="16">
        <v>3</v>
      </c>
      <c r="AK39" s="17">
        <f>Table32[[#This Row],[Experimental_length8]]/Table32[[#This Row],[Predicted_length7]]</f>
        <v>4.6875E-2</v>
      </c>
    </row>
    <row r="40" spans="1:37" x14ac:dyDescent="0.2">
      <c r="A40" t="s">
        <v>337</v>
      </c>
      <c r="B40" t="s">
        <v>135</v>
      </c>
      <c r="C40">
        <v>2</v>
      </c>
      <c r="D40" t="s">
        <v>136</v>
      </c>
      <c r="E40" t="str">
        <f t="shared" si="1"/>
        <v>5ZNG.B</v>
      </c>
      <c r="F40" t="s">
        <v>137</v>
      </c>
      <c r="G40" t="s">
        <v>47</v>
      </c>
      <c r="H40">
        <v>1</v>
      </c>
      <c r="I40" t="s">
        <v>332</v>
      </c>
      <c r="J40">
        <v>2.19</v>
      </c>
      <c r="K40" t="s">
        <v>329</v>
      </c>
      <c r="L40" t="s">
        <v>370</v>
      </c>
      <c r="M40" t="s">
        <v>134</v>
      </c>
      <c r="N40" s="16">
        <v>0.23227</v>
      </c>
      <c r="O40" s="16">
        <v>0.26288</v>
      </c>
      <c r="P40" s="16">
        <v>3.95</v>
      </c>
      <c r="Q40" s="16">
        <v>32</v>
      </c>
      <c r="R40" s="16">
        <v>3.1E-2</v>
      </c>
      <c r="S40" s="16">
        <v>77</v>
      </c>
      <c r="T40" s="16">
        <v>62</v>
      </c>
      <c r="U40" s="16">
        <f>Table32[[#This Row],[Experimental_length]]/Table32[[#This Row],[Predicted_length]]</f>
        <v>0.80519480519480524</v>
      </c>
      <c r="V40" s="16">
        <v>0.92156000000000005</v>
      </c>
      <c r="W40" s="16">
        <v>0.74863999999999997</v>
      </c>
      <c r="X40" s="16">
        <v>1.39</v>
      </c>
      <c r="Y40" s="16">
        <v>61</v>
      </c>
      <c r="Z40" s="16">
        <v>0.96699999999999997</v>
      </c>
      <c r="AA40" s="16">
        <v>77</v>
      </c>
      <c r="AB40" s="16">
        <v>62</v>
      </c>
      <c r="AC40" s="16">
        <f>Table32[[#This Row],[Experimental_length9]]/Table32[[#This Row],[Predicted_length8]]</f>
        <v>0.80519480519480524</v>
      </c>
      <c r="AD40" s="16">
        <v>0.72594999999999998</v>
      </c>
      <c r="AE40" s="16">
        <v>0.89015</v>
      </c>
      <c r="AF40" s="16">
        <v>1.42</v>
      </c>
      <c r="AG40" s="16">
        <v>60</v>
      </c>
      <c r="AH40" s="16">
        <v>1</v>
      </c>
      <c r="AI40" s="16">
        <v>77</v>
      </c>
      <c r="AJ40" s="16">
        <v>62</v>
      </c>
      <c r="AK40" s="17">
        <f>Table32[[#This Row],[Experimental_length8]]/Table32[[#This Row],[Predicted_length7]]</f>
        <v>0.80519480519480524</v>
      </c>
    </row>
    <row r="41" spans="1:37" x14ac:dyDescent="0.2">
      <c r="A41" t="s">
        <v>357</v>
      </c>
      <c r="B41" t="s">
        <v>138</v>
      </c>
      <c r="C41">
        <v>1</v>
      </c>
      <c r="D41" t="s">
        <v>77</v>
      </c>
      <c r="E41" t="str">
        <f t="shared" si="1"/>
        <v>6BN0.A</v>
      </c>
      <c r="F41" t="s">
        <v>139</v>
      </c>
      <c r="G41" t="s">
        <v>140</v>
      </c>
      <c r="H41">
        <v>1</v>
      </c>
      <c r="I41" t="s">
        <v>332</v>
      </c>
      <c r="J41">
        <v>1.95</v>
      </c>
      <c r="K41" t="s">
        <v>329</v>
      </c>
      <c r="L41" t="s">
        <v>371</v>
      </c>
      <c r="M41" t="s">
        <v>141</v>
      </c>
      <c r="N41" s="16">
        <v>0.96206999999999998</v>
      </c>
      <c r="O41" s="16">
        <v>0.96206999999999998</v>
      </c>
      <c r="P41" s="16">
        <v>0.91</v>
      </c>
      <c r="Q41" s="16">
        <v>79</v>
      </c>
      <c r="R41" s="16">
        <v>1</v>
      </c>
      <c r="S41" s="16">
        <v>79</v>
      </c>
      <c r="T41" s="16">
        <v>79</v>
      </c>
      <c r="U41" s="16">
        <f>Table32[[#This Row],[Experimental_length]]/Table32[[#This Row],[Predicted_length]]</f>
        <v>1</v>
      </c>
      <c r="V41" s="16">
        <v>0.93700000000000006</v>
      </c>
      <c r="W41" s="16">
        <v>0.93700000000000006</v>
      </c>
      <c r="X41" s="16">
        <v>1.48</v>
      </c>
      <c r="Y41" s="16">
        <v>79</v>
      </c>
      <c r="Z41" s="16">
        <v>1</v>
      </c>
      <c r="AA41" s="16">
        <v>79</v>
      </c>
      <c r="AB41" s="16">
        <v>79</v>
      </c>
      <c r="AC41" s="16">
        <f>Table32[[#This Row],[Experimental_length9]]/Table32[[#This Row],[Predicted_length8]]</f>
        <v>1</v>
      </c>
      <c r="AD41" s="16">
        <v>0.96094999999999997</v>
      </c>
      <c r="AE41" s="16">
        <v>0.96094999999999997</v>
      </c>
      <c r="AF41" s="16">
        <v>0.81</v>
      </c>
      <c r="AG41" s="16">
        <v>79</v>
      </c>
      <c r="AH41" s="16">
        <v>1</v>
      </c>
      <c r="AI41" s="16">
        <v>79</v>
      </c>
      <c r="AJ41" s="16">
        <v>79</v>
      </c>
      <c r="AK41" s="17">
        <f>Table32[[#This Row],[Experimental_length8]]/Table32[[#This Row],[Predicted_length7]]</f>
        <v>1</v>
      </c>
    </row>
    <row r="42" spans="1:37" x14ac:dyDescent="0.2">
      <c r="A42" t="s">
        <v>372</v>
      </c>
      <c r="B42" t="s">
        <v>142</v>
      </c>
      <c r="C42">
        <v>1</v>
      </c>
      <c r="D42" t="s">
        <v>14</v>
      </c>
      <c r="E42" t="str">
        <f t="shared" si="1"/>
        <v>6FMB.A</v>
      </c>
      <c r="F42" t="s">
        <v>143</v>
      </c>
      <c r="G42" t="s">
        <v>144</v>
      </c>
      <c r="H42">
        <v>1</v>
      </c>
      <c r="I42" t="s">
        <v>332</v>
      </c>
      <c r="J42">
        <v>1.3</v>
      </c>
      <c r="K42" t="s">
        <v>329</v>
      </c>
      <c r="L42" t="s">
        <v>373</v>
      </c>
      <c r="M42" t="s">
        <v>145</v>
      </c>
      <c r="N42" s="16">
        <v>0.88753000000000004</v>
      </c>
      <c r="O42" s="16">
        <v>0.89615999999999996</v>
      </c>
      <c r="P42" s="16">
        <v>1.63</v>
      </c>
      <c r="Q42" s="16">
        <v>95</v>
      </c>
      <c r="R42" s="16">
        <v>0.94699999999999995</v>
      </c>
      <c r="S42" s="16">
        <v>98</v>
      </c>
      <c r="T42" s="16">
        <v>97</v>
      </c>
      <c r="U42" s="16">
        <f>Table32[[#This Row],[Experimental_length]]/Table32[[#This Row],[Predicted_length]]</f>
        <v>0.98979591836734693</v>
      </c>
      <c r="V42" s="16">
        <v>0.89490999999999998</v>
      </c>
      <c r="W42" s="16">
        <v>0.88629999999999998</v>
      </c>
      <c r="X42" s="16">
        <v>1.65</v>
      </c>
      <c r="Y42" s="16">
        <v>95</v>
      </c>
      <c r="Z42" s="16">
        <v>0.94699999999999995</v>
      </c>
      <c r="AA42" s="16">
        <v>98</v>
      </c>
      <c r="AB42" s="16">
        <v>97</v>
      </c>
      <c r="AC42" s="16">
        <f>Table32[[#This Row],[Experimental_length9]]/Table32[[#This Row],[Predicted_length8]]</f>
        <v>0.98979591836734693</v>
      </c>
      <c r="AD42" s="16">
        <v>0.88222999999999996</v>
      </c>
      <c r="AE42" s="16">
        <v>0.89075000000000004</v>
      </c>
      <c r="AF42" s="16">
        <v>1.42</v>
      </c>
      <c r="AG42" s="16">
        <v>94</v>
      </c>
      <c r="AH42" s="16">
        <v>0.95699999999999996</v>
      </c>
      <c r="AI42" s="16">
        <v>98</v>
      </c>
      <c r="AJ42" s="16">
        <v>97</v>
      </c>
      <c r="AK42" s="17">
        <f>Table32[[#This Row],[Experimental_length8]]/Table32[[#This Row],[Predicted_length7]]</f>
        <v>0.98979591836734693</v>
      </c>
    </row>
    <row r="43" spans="1:37" x14ac:dyDescent="0.2">
      <c r="A43" t="s">
        <v>340</v>
      </c>
      <c r="B43" t="s">
        <v>150</v>
      </c>
      <c r="C43">
        <v>2</v>
      </c>
      <c r="D43" t="s">
        <v>151</v>
      </c>
      <c r="E43" t="str">
        <f t="shared" si="1"/>
        <v>6FU9.B</v>
      </c>
      <c r="F43" t="s">
        <v>152</v>
      </c>
      <c r="G43" t="s">
        <v>38</v>
      </c>
      <c r="H43">
        <v>1</v>
      </c>
      <c r="I43" t="s">
        <v>332</v>
      </c>
      <c r="J43">
        <v>1.2</v>
      </c>
      <c r="K43" t="s">
        <v>333</v>
      </c>
      <c r="L43" t="s">
        <v>374</v>
      </c>
      <c r="M43" t="s">
        <v>149</v>
      </c>
      <c r="N43" s="16">
        <v>0.74760000000000004</v>
      </c>
      <c r="O43" s="16">
        <v>0.82077999999999995</v>
      </c>
      <c r="P43" s="16">
        <v>1.84</v>
      </c>
      <c r="Q43" s="16">
        <v>78</v>
      </c>
      <c r="R43" s="16">
        <v>0.84599999999999997</v>
      </c>
      <c r="S43" s="16">
        <v>93</v>
      </c>
      <c r="T43" s="16">
        <v>84</v>
      </c>
      <c r="U43" s="16">
        <f>Table32[[#This Row],[Experimental_length]]/Table32[[#This Row],[Predicted_length]]</f>
        <v>0.90322580645161288</v>
      </c>
      <c r="V43" s="16">
        <v>0.96275999999999995</v>
      </c>
      <c r="W43" s="16">
        <v>0.87107000000000001</v>
      </c>
      <c r="X43" s="16">
        <v>0.83</v>
      </c>
      <c r="Y43" s="16">
        <v>83</v>
      </c>
      <c r="Z43" s="16">
        <v>1</v>
      </c>
      <c r="AA43" s="16">
        <v>93</v>
      </c>
      <c r="AB43" s="16">
        <v>84</v>
      </c>
      <c r="AC43" s="16">
        <f>Table32[[#This Row],[Experimental_length9]]/Table32[[#This Row],[Predicted_length8]]</f>
        <v>0.90322580645161288</v>
      </c>
      <c r="AD43" s="16">
        <v>0.87212999999999996</v>
      </c>
      <c r="AE43" s="16">
        <v>0.96416999999999997</v>
      </c>
      <c r="AF43" s="16">
        <v>0.87</v>
      </c>
      <c r="AG43" s="16">
        <v>83</v>
      </c>
      <c r="AH43" s="16">
        <v>1</v>
      </c>
      <c r="AI43" s="16">
        <v>93</v>
      </c>
      <c r="AJ43" s="16">
        <v>84</v>
      </c>
      <c r="AK43" s="17">
        <f>Table32[[#This Row],[Experimental_length8]]/Table32[[#This Row],[Predicted_length7]]</f>
        <v>0.90322580645161288</v>
      </c>
    </row>
    <row r="44" spans="1:37" x14ac:dyDescent="0.2">
      <c r="A44" t="s">
        <v>340</v>
      </c>
      <c r="B44" t="s">
        <v>153</v>
      </c>
      <c r="C44">
        <v>2</v>
      </c>
      <c r="D44" t="s">
        <v>154</v>
      </c>
      <c r="E44" t="str">
        <f t="shared" si="1"/>
        <v>6FUB.A</v>
      </c>
      <c r="F44" t="s">
        <v>152</v>
      </c>
      <c r="G44" t="s">
        <v>38</v>
      </c>
      <c r="H44">
        <v>1</v>
      </c>
      <c r="I44" t="s">
        <v>332</v>
      </c>
      <c r="J44">
        <v>1.3</v>
      </c>
      <c r="K44" t="s">
        <v>333</v>
      </c>
      <c r="L44" t="s">
        <v>374</v>
      </c>
      <c r="M44" t="s">
        <v>149</v>
      </c>
      <c r="N44" s="16">
        <v>0.74424000000000001</v>
      </c>
      <c r="O44" s="16">
        <v>0.74424000000000001</v>
      </c>
      <c r="P44" s="16">
        <v>1.83</v>
      </c>
      <c r="Q44" s="16">
        <v>78</v>
      </c>
      <c r="R44" s="16">
        <v>0.84599999999999997</v>
      </c>
      <c r="S44" s="16">
        <v>93</v>
      </c>
      <c r="T44" s="16">
        <v>93</v>
      </c>
      <c r="U44" s="16">
        <f>Table32[[#This Row],[Experimental_length]]/Table32[[#This Row],[Predicted_length]]</f>
        <v>1</v>
      </c>
      <c r="V44" s="16">
        <v>0.87253000000000003</v>
      </c>
      <c r="W44" s="16">
        <v>0.87253000000000003</v>
      </c>
      <c r="X44" s="16">
        <v>1.1499999999999999</v>
      </c>
      <c r="Y44" s="16">
        <v>84</v>
      </c>
      <c r="Z44" s="16">
        <v>1</v>
      </c>
      <c r="AA44" s="16">
        <v>93</v>
      </c>
      <c r="AB44" s="16">
        <v>93</v>
      </c>
      <c r="AC44" s="16">
        <f>Table32[[#This Row],[Experimental_length9]]/Table32[[#This Row],[Predicted_length8]]</f>
        <v>1</v>
      </c>
      <c r="AD44" s="16">
        <v>0.89327999999999996</v>
      </c>
      <c r="AE44" s="16">
        <v>0.89327999999999996</v>
      </c>
      <c r="AF44" s="16">
        <v>1.29</v>
      </c>
      <c r="AG44" s="16">
        <v>88</v>
      </c>
      <c r="AH44" s="16">
        <v>1</v>
      </c>
      <c r="AI44" s="16">
        <v>93</v>
      </c>
      <c r="AJ44" s="16">
        <v>93</v>
      </c>
      <c r="AK44" s="17">
        <f>Table32[[#This Row],[Experimental_length8]]/Table32[[#This Row],[Predicted_length7]]</f>
        <v>1</v>
      </c>
    </row>
    <row r="45" spans="1:37" x14ac:dyDescent="0.2">
      <c r="A45" t="s">
        <v>340</v>
      </c>
      <c r="B45" t="s">
        <v>158</v>
      </c>
      <c r="C45">
        <v>2</v>
      </c>
      <c r="D45" t="s">
        <v>19</v>
      </c>
      <c r="E45" t="str">
        <f t="shared" si="1"/>
        <v>6FUD.B</v>
      </c>
      <c r="F45" t="s">
        <v>152</v>
      </c>
      <c r="G45" t="s">
        <v>38</v>
      </c>
      <c r="H45">
        <v>1</v>
      </c>
      <c r="I45" t="s">
        <v>332</v>
      </c>
      <c r="J45">
        <v>1.3</v>
      </c>
      <c r="K45" t="s">
        <v>333</v>
      </c>
      <c r="L45" t="s">
        <v>374</v>
      </c>
      <c r="M45" t="s">
        <v>149</v>
      </c>
      <c r="N45" s="16">
        <v>0.75183</v>
      </c>
      <c r="O45" s="16">
        <v>0.85394999999999999</v>
      </c>
      <c r="P45" s="16">
        <v>1.52</v>
      </c>
      <c r="Q45" s="16">
        <v>77</v>
      </c>
      <c r="R45" s="16">
        <v>0.85699999999999998</v>
      </c>
      <c r="S45" s="16">
        <v>93</v>
      </c>
      <c r="T45" s="16">
        <v>81</v>
      </c>
      <c r="U45" s="16">
        <f>Table32[[#This Row],[Experimental_length]]/Table32[[#This Row],[Predicted_length]]</f>
        <v>0.87096774193548387</v>
      </c>
      <c r="V45" s="16">
        <v>0.99168999999999996</v>
      </c>
      <c r="W45" s="16">
        <v>0.86482999999999999</v>
      </c>
      <c r="X45" s="16">
        <v>0.3</v>
      </c>
      <c r="Y45" s="16">
        <v>81</v>
      </c>
      <c r="Z45" s="16">
        <v>1</v>
      </c>
      <c r="AA45" s="16">
        <v>93</v>
      </c>
      <c r="AB45" s="16">
        <v>81</v>
      </c>
      <c r="AC45" s="16">
        <f>Table32[[#This Row],[Experimental_length9]]/Table32[[#This Row],[Predicted_length8]]</f>
        <v>0.87096774193548387</v>
      </c>
      <c r="AD45" s="16">
        <v>0.86092000000000002</v>
      </c>
      <c r="AE45" s="16">
        <v>0.98640000000000005</v>
      </c>
      <c r="AF45" s="16">
        <v>0.38</v>
      </c>
      <c r="AG45" s="16">
        <v>81</v>
      </c>
      <c r="AH45" s="16">
        <v>1</v>
      </c>
      <c r="AI45" s="16">
        <v>93</v>
      </c>
      <c r="AJ45" s="16">
        <v>81</v>
      </c>
      <c r="AK45" s="17">
        <f>Table32[[#This Row],[Experimental_length8]]/Table32[[#This Row],[Predicted_length7]]</f>
        <v>0.87096774193548387</v>
      </c>
    </row>
    <row r="46" spans="1:37" x14ac:dyDescent="0.2">
      <c r="A46" t="s">
        <v>337</v>
      </c>
      <c r="B46" t="s">
        <v>162</v>
      </c>
      <c r="C46">
        <v>2</v>
      </c>
      <c r="D46" t="s">
        <v>68</v>
      </c>
      <c r="E46" t="str">
        <f t="shared" si="1"/>
        <v>6G10.C</v>
      </c>
      <c r="F46" t="s">
        <v>152</v>
      </c>
      <c r="G46" t="s">
        <v>38</v>
      </c>
      <c r="H46">
        <v>1</v>
      </c>
      <c r="I46" t="s">
        <v>332</v>
      </c>
      <c r="J46">
        <v>1.35</v>
      </c>
      <c r="K46" t="s">
        <v>329</v>
      </c>
      <c r="L46" t="s">
        <v>374</v>
      </c>
      <c r="M46" t="s">
        <v>161</v>
      </c>
      <c r="N46" s="16">
        <v>0.73706000000000005</v>
      </c>
      <c r="O46" s="16">
        <v>0.81766000000000005</v>
      </c>
      <c r="P46" s="16">
        <v>1.7</v>
      </c>
      <c r="Q46" s="16">
        <v>77</v>
      </c>
      <c r="R46" s="16">
        <v>0.85699999999999998</v>
      </c>
      <c r="S46" s="16">
        <v>93</v>
      </c>
      <c r="T46" s="16">
        <v>83</v>
      </c>
      <c r="U46" s="16">
        <f>Table32[[#This Row],[Experimental_length]]/Table32[[#This Row],[Predicted_length]]</f>
        <v>0.89247311827956988</v>
      </c>
      <c r="V46" s="16">
        <v>0.96592</v>
      </c>
      <c r="W46" s="16">
        <v>0.86502000000000001</v>
      </c>
      <c r="X46" s="16">
        <v>0.79</v>
      </c>
      <c r="Y46" s="16">
        <v>83</v>
      </c>
      <c r="Z46" s="16">
        <v>1</v>
      </c>
      <c r="AA46" s="16">
        <v>93</v>
      </c>
      <c r="AB46" s="16">
        <v>83</v>
      </c>
      <c r="AC46" s="16">
        <f>Table32[[#This Row],[Experimental_length9]]/Table32[[#This Row],[Predicted_length8]]</f>
        <v>0.89247311827956988</v>
      </c>
      <c r="AD46" s="16">
        <v>0.87017</v>
      </c>
      <c r="AE46" s="16">
        <v>0.97262000000000004</v>
      </c>
      <c r="AF46" s="16">
        <v>0.77</v>
      </c>
      <c r="AG46" s="16">
        <v>83</v>
      </c>
      <c r="AH46" s="16">
        <v>1</v>
      </c>
      <c r="AI46" s="16">
        <v>93</v>
      </c>
      <c r="AJ46" s="16">
        <v>83</v>
      </c>
      <c r="AK46" s="17">
        <f>Table32[[#This Row],[Experimental_length8]]/Table32[[#This Row],[Predicted_length7]]</f>
        <v>0.89247311827956988</v>
      </c>
    </row>
    <row r="47" spans="1:37" x14ac:dyDescent="0.2">
      <c r="A47" t="s">
        <v>340</v>
      </c>
      <c r="B47" t="s">
        <v>163</v>
      </c>
      <c r="C47">
        <v>2</v>
      </c>
      <c r="D47" t="s">
        <v>164</v>
      </c>
      <c r="E47" t="str">
        <f t="shared" si="1"/>
        <v>6G11.A</v>
      </c>
      <c r="F47" t="s">
        <v>152</v>
      </c>
      <c r="G47" t="s">
        <v>38</v>
      </c>
      <c r="H47">
        <v>1</v>
      </c>
      <c r="I47" t="s">
        <v>332</v>
      </c>
      <c r="J47">
        <v>1.9</v>
      </c>
      <c r="K47" t="s">
        <v>333</v>
      </c>
      <c r="L47" t="s">
        <v>374</v>
      </c>
      <c r="M47" t="s">
        <v>161</v>
      </c>
      <c r="N47" s="16">
        <v>0.73170000000000002</v>
      </c>
      <c r="O47" s="16">
        <v>0.81908000000000003</v>
      </c>
      <c r="P47" s="16">
        <v>1.95</v>
      </c>
      <c r="Q47" s="16">
        <v>78</v>
      </c>
      <c r="R47" s="16">
        <v>0.84599999999999997</v>
      </c>
      <c r="S47" s="16">
        <v>93</v>
      </c>
      <c r="T47" s="16">
        <v>82</v>
      </c>
      <c r="U47" s="16">
        <f>Table32[[#This Row],[Experimental_length]]/Table32[[#This Row],[Predicted_length]]</f>
        <v>0.88172043010752688</v>
      </c>
      <c r="V47" s="16">
        <v>0.98528000000000004</v>
      </c>
      <c r="W47" s="16">
        <v>0.87056</v>
      </c>
      <c r="X47" s="16">
        <v>0.4</v>
      </c>
      <c r="Y47" s="16">
        <v>82</v>
      </c>
      <c r="Z47" s="16">
        <v>1</v>
      </c>
      <c r="AA47" s="16">
        <v>93</v>
      </c>
      <c r="AB47" s="16">
        <v>82</v>
      </c>
      <c r="AC47" s="16">
        <f>Table32[[#This Row],[Experimental_length9]]/Table32[[#This Row],[Predicted_length8]]</f>
        <v>0.88172043010752688</v>
      </c>
      <c r="AD47" s="16">
        <v>0.87407000000000001</v>
      </c>
      <c r="AE47" s="16">
        <v>0.99000999999999995</v>
      </c>
      <c r="AF47" s="16">
        <v>0.34</v>
      </c>
      <c r="AG47" s="16">
        <v>82</v>
      </c>
      <c r="AH47" s="16">
        <v>1</v>
      </c>
      <c r="AI47" s="16">
        <v>93</v>
      </c>
      <c r="AJ47" s="16">
        <v>82</v>
      </c>
      <c r="AK47" s="17">
        <f>Table32[[#This Row],[Experimental_length8]]/Table32[[#This Row],[Predicted_length7]]</f>
        <v>0.88172043010752688</v>
      </c>
    </row>
    <row r="48" spans="1:37" x14ac:dyDescent="0.2">
      <c r="A48" t="s">
        <v>327</v>
      </c>
      <c r="B48" t="s">
        <v>168</v>
      </c>
      <c r="C48">
        <v>1</v>
      </c>
      <c r="D48" t="s">
        <v>14</v>
      </c>
      <c r="E48" t="str">
        <f t="shared" si="1"/>
        <v>6H0I.A</v>
      </c>
      <c r="F48" t="s">
        <v>169</v>
      </c>
      <c r="G48" t="s">
        <v>170</v>
      </c>
      <c r="H48">
        <v>1</v>
      </c>
      <c r="I48" t="s">
        <v>328</v>
      </c>
      <c r="J48">
        <v>0</v>
      </c>
      <c r="K48" t="s">
        <v>333</v>
      </c>
      <c r="L48" t="s">
        <v>375</v>
      </c>
      <c r="M48" t="s">
        <v>171</v>
      </c>
      <c r="N48" s="16">
        <v>0.3659</v>
      </c>
      <c r="O48" s="16">
        <v>0.3659</v>
      </c>
      <c r="P48" s="16">
        <v>2.58</v>
      </c>
      <c r="Q48" s="16">
        <v>34</v>
      </c>
      <c r="R48" s="16">
        <v>0.91200000000000003</v>
      </c>
      <c r="S48" s="16">
        <v>75</v>
      </c>
      <c r="T48" s="16">
        <v>75</v>
      </c>
      <c r="U48" s="16">
        <f>Table32[[#This Row],[Experimental_length]]/Table32[[#This Row],[Predicted_length]]</f>
        <v>1</v>
      </c>
      <c r="V48" s="16">
        <v>0.42210999999999999</v>
      </c>
      <c r="W48" s="16">
        <v>0.42210999999999999</v>
      </c>
      <c r="X48" s="16">
        <v>2.56</v>
      </c>
      <c r="Y48" s="16">
        <v>41</v>
      </c>
      <c r="Z48" s="16">
        <v>0.90200000000000002</v>
      </c>
      <c r="AA48" s="16">
        <v>75</v>
      </c>
      <c r="AB48" s="16">
        <v>75</v>
      </c>
      <c r="AC48" s="16">
        <f>Table32[[#This Row],[Experimental_length9]]/Table32[[#This Row],[Predicted_length8]]</f>
        <v>1</v>
      </c>
      <c r="AD48" s="16">
        <v>0.39676</v>
      </c>
      <c r="AE48" s="16">
        <v>0.39676</v>
      </c>
      <c r="AF48" s="16">
        <v>2.42</v>
      </c>
      <c r="AG48" s="16">
        <v>38</v>
      </c>
      <c r="AH48" s="16">
        <v>0.84199999999999997</v>
      </c>
      <c r="AI48" s="16">
        <v>75</v>
      </c>
      <c r="AJ48" s="16">
        <v>75</v>
      </c>
      <c r="AK48" s="17">
        <f>Table32[[#This Row],[Experimental_length8]]/Table32[[#This Row],[Predicted_length7]]</f>
        <v>1</v>
      </c>
    </row>
    <row r="49" spans="1:37" x14ac:dyDescent="0.2">
      <c r="A49" t="s">
        <v>348</v>
      </c>
      <c r="B49" t="s">
        <v>172</v>
      </c>
      <c r="C49">
        <v>1</v>
      </c>
      <c r="D49" t="s">
        <v>77</v>
      </c>
      <c r="E49" t="str">
        <f t="shared" ref="E49:E80" si="2">LEFT(B49,4)&amp;"."&amp;LEFT(D49,1)</f>
        <v>6Q40.A</v>
      </c>
      <c r="F49" t="s">
        <v>173</v>
      </c>
      <c r="G49" t="s">
        <v>174</v>
      </c>
      <c r="H49">
        <v>1</v>
      </c>
      <c r="I49" t="s">
        <v>332</v>
      </c>
      <c r="J49">
        <v>2.4119999999999999</v>
      </c>
      <c r="K49" t="s">
        <v>329</v>
      </c>
      <c r="L49" t="s">
        <v>376</v>
      </c>
      <c r="M49" t="s">
        <v>175</v>
      </c>
      <c r="N49" s="16">
        <v>0.73097000000000001</v>
      </c>
      <c r="O49" s="16">
        <v>0.73097000000000001</v>
      </c>
      <c r="P49" s="16">
        <v>2.0699999999999998</v>
      </c>
      <c r="Q49" s="16">
        <v>67</v>
      </c>
      <c r="R49" s="16">
        <v>0.91</v>
      </c>
      <c r="S49" s="16">
        <v>79</v>
      </c>
      <c r="T49" s="16">
        <v>79</v>
      </c>
      <c r="U49" s="16">
        <f>Table32[[#This Row],[Experimental_length]]/Table32[[#This Row],[Predicted_length]]</f>
        <v>1</v>
      </c>
      <c r="V49" s="16">
        <v>0.88407999999999998</v>
      </c>
      <c r="W49" s="16">
        <v>0.88407999999999998</v>
      </c>
      <c r="X49" s="16">
        <v>1.81</v>
      </c>
      <c r="Y49" s="16">
        <v>76</v>
      </c>
      <c r="Z49" s="16">
        <v>0.94699999999999995</v>
      </c>
      <c r="AA49" s="16">
        <v>79</v>
      </c>
      <c r="AB49" s="16">
        <v>79</v>
      </c>
      <c r="AC49" s="16">
        <f>Table32[[#This Row],[Experimental_length9]]/Table32[[#This Row],[Predicted_length8]]</f>
        <v>1</v>
      </c>
      <c r="AD49" s="16">
        <v>0.91003999999999996</v>
      </c>
      <c r="AE49" s="16">
        <v>0.91003999999999996</v>
      </c>
      <c r="AF49" s="16">
        <v>1.32</v>
      </c>
      <c r="AG49" s="16">
        <v>76</v>
      </c>
      <c r="AH49" s="16">
        <v>1</v>
      </c>
      <c r="AI49" s="16">
        <v>79</v>
      </c>
      <c r="AJ49" s="16">
        <v>79</v>
      </c>
      <c r="AK49" s="17">
        <f>Table32[[#This Row],[Experimental_length8]]/Table32[[#This Row],[Predicted_length7]]</f>
        <v>1</v>
      </c>
    </row>
    <row r="50" spans="1:37" x14ac:dyDescent="0.2">
      <c r="A50" t="s">
        <v>340</v>
      </c>
      <c r="B50" t="s">
        <v>178</v>
      </c>
      <c r="C50">
        <v>2</v>
      </c>
      <c r="D50" t="s">
        <v>19</v>
      </c>
      <c r="E50" t="str">
        <f t="shared" si="2"/>
        <v>6Q76.B</v>
      </c>
      <c r="F50" t="s">
        <v>50</v>
      </c>
      <c r="G50" t="s">
        <v>38</v>
      </c>
      <c r="H50">
        <v>1</v>
      </c>
      <c r="I50" t="s">
        <v>332</v>
      </c>
      <c r="J50">
        <v>1.9</v>
      </c>
      <c r="K50" t="s">
        <v>333</v>
      </c>
      <c r="L50" t="s">
        <v>377</v>
      </c>
      <c r="M50" t="s">
        <v>177</v>
      </c>
      <c r="N50" s="16">
        <v>0.82730000000000004</v>
      </c>
      <c r="O50" s="16">
        <v>0.82730000000000004</v>
      </c>
      <c r="P50" s="16">
        <v>2.11</v>
      </c>
      <c r="Q50" s="16">
        <v>66</v>
      </c>
      <c r="R50" s="16">
        <v>1</v>
      </c>
      <c r="S50" s="16">
        <v>68</v>
      </c>
      <c r="T50" s="16">
        <v>68</v>
      </c>
      <c r="U50" s="16">
        <f>Table32[[#This Row],[Experimental_length]]/Table32[[#This Row],[Predicted_length]]</f>
        <v>1</v>
      </c>
      <c r="V50" s="16">
        <v>0.95564000000000004</v>
      </c>
      <c r="W50" s="16">
        <v>0.95564000000000004</v>
      </c>
      <c r="X50" s="16">
        <v>0.66</v>
      </c>
      <c r="Y50" s="16">
        <v>68</v>
      </c>
      <c r="Z50" s="16">
        <v>1</v>
      </c>
      <c r="AA50" s="16">
        <v>68</v>
      </c>
      <c r="AB50" s="16">
        <v>68</v>
      </c>
      <c r="AC50" s="16">
        <f>Table32[[#This Row],[Experimental_length9]]/Table32[[#This Row],[Predicted_length8]]</f>
        <v>1</v>
      </c>
      <c r="AD50" s="16">
        <v>0.97333000000000003</v>
      </c>
      <c r="AE50" s="16">
        <v>0.97333000000000003</v>
      </c>
      <c r="AF50" s="16">
        <v>0.51</v>
      </c>
      <c r="AG50" s="16">
        <v>68</v>
      </c>
      <c r="AH50" s="16">
        <v>1</v>
      </c>
      <c r="AI50" s="16">
        <v>68</v>
      </c>
      <c r="AJ50" s="16">
        <v>68</v>
      </c>
      <c r="AK50" s="17">
        <f>Table32[[#This Row],[Experimental_length8]]/Table32[[#This Row],[Predicted_length7]]</f>
        <v>1</v>
      </c>
    </row>
    <row r="51" spans="1:37" x14ac:dyDescent="0.2">
      <c r="A51" t="s">
        <v>355</v>
      </c>
      <c r="B51" t="s">
        <v>179</v>
      </c>
      <c r="C51">
        <v>1</v>
      </c>
      <c r="D51" t="s">
        <v>26</v>
      </c>
      <c r="E51" t="str">
        <f t="shared" si="2"/>
        <v>6QPK.A</v>
      </c>
      <c r="F51" t="s">
        <v>46</v>
      </c>
      <c r="G51" t="s">
        <v>180</v>
      </c>
      <c r="H51">
        <v>1</v>
      </c>
      <c r="I51" t="s">
        <v>332</v>
      </c>
      <c r="J51">
        <v>1.36</v>
      </c>
      <c r="K51" t="s">
        <v>329</v>
      </c>
      <c r="L51" t="s">
        <v>378</v>
      </c>
      <c r="M51" t="s">
        <v>181</v>
      </c>
      <c r="N51" s="16">
        <v>0.36696000000000001</v>
      </c>
      <c r="O51" s="16">
        <v>0.37615999999999999</v>
      </c>
      <c r="P51" s="16">
        <v>3.61</v>
      </c>
      <c r="Q51" s="16">
        <v>49</v>
      </c>
      <c r="R51" s="16">
        <v>0.40799999999999997</v>
      </c>
      <c r="S51" s="16">
        <v>80</v>
      </c>
      <c r="T51" s="16">
        <v>77</v>
      </c>
      <c r="U51" s="16">
        <f>Table32[[#This Row],[Experimental_length]]/Table32[[#This Row],[Predicted_length]]</f>
        <v>0.96250000000000002</v>
      </c>
      <c r="V51" s="16">
        <v>0.99121000000000004</v>
      </c>
      <c r="W51" s="16">
        <v>0.95443</v>
      </c>
      <c r="X51" s="16">
        <v>0.3</v>
      </c>
      <c r="Y51" s="16">
        <v>77</v>
      </c>
      <c r="Z51" s="16">
        <v>1</v>
      </c>
      <c r="AA51" s="16">
        <v>80</v>
      </c>
      <c r="AB51" s="16">
        <v>77</v>
      </c>
      <c r="AC51" s="16">
        <f>Table32[[#This Row],[Experimental_length9]]/Table32[[#This Row],[Predicted_length8]]</f>
        <v>0.96250000000000002</v>
      </c>
      <c r="AD51" s="16">
        <v>0.79676999999999998</v>
      </c>
      <c r="AE51" s="16">
        <v>0.82508999999999999</v>
      </c>
      <c r="AF51" s="16">
        <v>1.87</v>
      </c>
      <c r="AG51" s="16">
        <v>73</v>
      </c>
      <c r="AH51" s="16">
        <v>0.98599999999999999</v>
      </c>
      <c r="AI51" s="16">
        <v>80</v>
      </c>
      <c r="AJ51" s="16">
        <v>77</v>
      </c>
      <c r="AK51" s="17">
        <f>Table32[[#This Row],[Experimental_length8]]/Table32[[#This Row],[Predicted_length7]]</f>
        <v>0.96250000000000002</v>
      </c>
    </row>
    <row r="52" spans="1:37" x14ac:dyDescent="0.2">
      <c r="A52" t="s">
        <v>337</v>
      </c>
      <c r="B52" t="s">
        <v>182</v>
      </c>
      <c r="C52">
        <v>1</v>
      </c>
      <c r="D52" t="s">
        <v>183</v>
      </c>
      <c r="E52" t="str">
        <f t="shared" si="2"/>
        <v>6R5J.A</v>
      </c>
      <c r="F52" t="s">
        <v>46</v>
      </c>
      <c r="G52" t="s">
        <v>184</v>
      </c>
      <c r="H52">
        <v>1</v>
      </c>
      <c r="I52" t="s">
        <v>332</v>
      </c>
      <c r="J52">
        <v>1.38</v>
      </c>
      <c r="K52" t="s">
        <v>329</v>
      </c>
      <c r="L52" t="s">
        <v>379</v>
      </c>
      <c r="M52" t="s">
        <v>185</v>
      </c>
      <c r="N52" s="16">
        <v>0.94376000000000004</v>
      </c>
      <c r="O52" s="16">
        <v>0.94376000000000004</v>
      </c>
      <c r="P52" s="16">
        <v>0.91</v>
      </c>
      <c r="Q52" s="16">
        <v>67</v>
      </c>
      <c r="R52" s="16">
        <v>1</v>
      </c>
      <c r="S52" s="16">
        <v>68</v>
      </c>
      <c r="T52" s="16">
        <v>68</v>
      </c>
      <c r="U52" s="16">
        <f>Table32[[#This Row],[Experimental_length]]/Table32[[#This Row],[Predicted_length]]</f>
        <v>1</v>
      </c>
      <c r="V52" s="16">
        <v>0.96958</v>
      </c>
      <c r="W52" s="16">
        <v>0.95587999999999995</v>
      </c>
      <c r="X52" s="16">
        <v>0.52</v>
      </c>
      <c r="Y52" s="16">
        <v>67</v>
      </c>
      <c r="Z52" s="16">
        <v>1</v>
      </c>
      <c r="AA52" s="16">
        <v>68</v>
      </c>
      <c r="AB52" s="16">
        <v>67</v>
      </c>
      <c r="AC52" s="16">
        <f>Table32[[#This Row],[Experimental_length9]]/Table32[[#This Row],[Predicted_length8]]</f>
        <v>0.98529411764705888</v>
      </c>
      <c r="AD52" s="16">
        <v>0.97140000000000004</v>
      </c>
      <c r="AE52" s="16">
        <v>0.97140000000000004</v>
      </c>
      <c r="AF52" s="16">
        <v>0.56999999999999995</v>
      </c>
      <c r="AG52" s="16">
        <v>68</v>
      </c>
      <c r="AH52" s="16">
        <v>1</v>
      </c>
      <c r="AI52" s="16">
        <v>68</v>
      </c>
      <c r="AJ52" s="16">
        <v>68</v>
      </c>
      <c r="AK52" s="17">
        <f>Table32[[#This Row],[Experimental_length8]]/Table32[[#This Row],[Predicted_length7]]</f>
        <v>1</v>
      </c>
    </row>
    <row r="53" spans="1:37" x14ac:dyDescent="0.2">
      <c r="A53" t="s">
        <v>380</v>
      </c>
      <c r="B53" t="s">
        <v>186</v>
      </c>
      <c r="C53">
        <v>1</v>
      </c>
      <c r="D53" t="s">
        <v>14</v>
      </c>
      <c r="E53" t="str">
        <f t="shared" si="2"/>
        <v>6SGO.A</v>
      </c>
      <c r="F53" t="s">
        <v>169</v>
      </c>
      <c r="G53" t="s">
        <v>187</v>
      </c>
      <c r="H53">
        <v>1</v>
      </c>
      <c r="I53" t="s">
        <v>328</v>
      </c>
      <c r="J53">
        <v>0</v>
      </c>
      <c r="K53" t="s">
        <v>333</v>
      </c>
      <c r="L53" t="s">
        <v>375</v>
      </c>
      <c r="M53" t="s">
        <v>188</v>
      </c>
      <c r="N53" s="16">
        <v>0.50429999999999997</v>
      </c>
      <c r="O53" s="16">
        <v>0.56074000000000002</v>
      </c>
      <c r="P53" s="16">
        <v>3.93</v>
      </c>
      <c r="Q53" s="16">
        <v>118</v>
      </c>
      <c r="R53" s="16">
        <v>0.66100000000000003</v>
      </c>
      <c r="S53" s="16">
        <v>157</v>
      </c>
      <c r="T53" s="16">
        <v>136</v>
      </c>
      <c r="U53" s="16">
        <f>Table32[[#This Row],[Experimental_length]]/Table32[[#This Row],[Predicted_length]]</f>
        <v>0.86624203821656054</v>
      </c>
      <c r="V53" s="16">
        <v>0.75978000000000001</v>
      </c>
      <c r="W53" s="16">
        <v>0.67095000000000005</v>
      </c>
      <c r="X53" s="16">
        <v>3.34</v>
      </c>
      <c r="Y53" s="16">
        <v>132</v>
      </c>
      <c r="Z53" s="16">
        <v>0.81799999999999995</v>
      </c>
      <c r="AA53" s="16">
        <v>157</v>
      </c>
      <c r="AB53" s="16">
        <v>136</v>
      </c>
      <c r="AC53" s="16">
        <f>Table32[[#This Row],[Experimental_length9]]/Table32[[#This Row],[Predicted_length8]]</f>
        <v>0.86624203821656054</v>
      </c>
      <c r="AD53" s="16">
        <v>0.34658</v>
      </c>
      <c r="AE53" s="16">
        <v>0.38238</v>
      </c>
      <c r="AF53" s="16">
        <v>4.97</v>
      </c>
      <c r="AG53" s="16">
        <v>90</v>
      </c>
      <c r="AH53" s="16">
        <v>0.57799999999999996</v>
      </c>
      <c r="AI53" s="16">
        <v>157</v>
      </c>
      <c r="AJ53" s="16">
        <v>136</v>
      </c>
      <c r="AK53" s="17">
        <f>Table32[[#This Row],[Experimental_length8]]/Table32[[#This Row],[Predicted_length7]]</f>
        <v>0.86624203821656054</v>
      </c>
    </row>
    <row r="54" spans="1:37" x14ac:dyDescent="0.2">
      <c r="A54" t="s">
        <v>381</v>
      </c>
      <c r="B54" t="s">
        <v>189</v>
      </c>
      <c r="C54">
        <v>1</v>
      </c>
      <c r="D54" t="s">
        <v>14</v>
      </c>
      <c r="E54" t="str">
        <f t="shared" si="2"/>
        <v>6WES.A</v>
      </c>
      <c r="F54" t="s">
        <v>190</v>
      </c>
      <c r="G54" t="s">
        <v>191</v>
      </c>
      <c r="H54">
        <v>1</v>
      </c>
      <c r="I54" t="s">
        <v>332</v>
      </c>
      <c r="J54">
        <v>1.36</v>
      </c>
      <c r="K54" t="s">
        <v>329</v>
      </c>
      <c r="L54" t="s">
        <v>382</v>
      </c>
      <c r="M54" t="s">
        <v>192</v>
      </c>
      <c r="N54" s="16">
        <v>0.30736000000000002</v>
      </c>
      <c r="O54" s="16">
        <v>0.30736000000000002</v>
      </c>
      <c r="P54" s="16">
        <v>4.57</v>
      </c>
      <c r="Q54" s="16">
        <v>75</v>
      </c>
      <c r="R54" s="16">
        <v>9.2999999999999999E-2</v>
      </c>
      <c r="S54" s="16">
        <v>158</v>
      </c>
      <c r="T54" s="16">
        <v>158</v>
      </c>
      <c r="U54" s="16">
        <f>Table32[[#This Row],[Experimental_length]]/Table32[[#This Row],[Predicted_length]]</f>
        <v>1</v>
      </c>
      <c r="V54" s="16">
        <v>0.90546000000000004</v>
      </c>
      <c r="W54" s="16">
        <v>0.90546000000000004</v>
      </c>
      <c r="X54" s="16">
        <v>1.82</v>
      </c>
      <c r="Y54" s="16">
        <v>157</v>
      </c>
      <c r="Z54" s="16">
        <v>0.98099999999999998</v>
      </c>
      <c r="AA54" s="16">
        <v>158</v>
      </c>
      <c r="AB54" s="16">
        <v>158</v>
      </c>
      <c r="AC54" s="16">
        <f>Table32[[#This Row],[Experimental_length9]]/Table32[[#This Row],[Predicted_length8]]</f>
        <v>1</v>
      </c>
      <c r="AD54" s="16">
        <v>0.92610999999999999</v>
      </c>
      <c r="AE54" s="16">
        <v>0.92610999999999999</v>
      </c>
      <c r="AF54" s="16">
        <v>1.67</v>
      </c>
      <c r="AG54" s="16">
        <v>157</v>
      </c>
      <c r="AH54" s="16">
        <v>0.95499999999999996</v>
      </c>
      <c r="AI54" s="16">
        <v>158</v>
      </c>
      <c r="AJ54" s="16">
        <v>158</v>
      </c>
      <c r="AK54" s="17">
        <f>Table32[[#This Row],[Experimental_length8]]/Table32[[#This Row],[Predicted_length7]]</f>
        <v>1</v>
      </c>
    </row>
    <row r="55" spans="1:37" x14ac:dyDescent="0.2">
      <c r="A55" t="s">
        <v>353</v>
      </c>
      <c r="B55" t="s">
        <v>193</v>
      </c>
      <c r="C55">
        <v>1</v>
      </c>
      <c r="D55" t="s">
        <v>14</v>
      </c>
      <c r="E55" t="str">
        <f t="shared" si="2"/>
        <v>6ZUS.A</v>
      </c>
      <c r="F55" t="s">
        <v>194</v>
      </c>
      <c r="G55" t="s">
        <v>140</v>
      </c>
      <c r="H55">
        <v>1</v>
      </c>
      <c r="I55" t="s">
        <v>332</v>
      </c>
      <c r="J55">
        <v>1.62</v>
      </c>
      <c r="K55" t="s">
        <v>333</v>
      </c>
      <c r="L55" t="s">
        <v>383</v>
      </c>
      <c r="M55" t="s">
        <v>195</v>
      </c>
      <c r="N55" s="16">
        <v>0.30260999999999999</v>
      </c>
      <c r="O55" s="16">
        <v>0.30260999999999999</v>
      </c>
      <c r="P55" s="16">
        <v>4.87</v>
      </c>
      <c r="Q55" s="16">
        <v>75</v>
      </c>
      <c r="R55" s="16">
        <v>0.04</v>
      </c>
      <c r="S55" s="16">
        <v>143</v>
      </c>
      <c r="T55" s="16">
        <v>143</v>
      </c>
      <c r="U55" s="16">
        <f>Table32[[#This Row],[Experimental_length]]/Table32[[#This Row],[Predicted_length]]</f>
        <v>1</v>
      </c>
      <c r="V55" s="16">
        <v>0.86395</v>
      </c>
      <c r="W55" s="16">
        <v>0.86395</v>
      </c>
      <c r="X55" s="16">
        <v>2.1</v>
      </c>
      <c r="Y55" s="16">
        <v>142</v>
      </c>
      <c r="Z55" s="16">
        <v>1</v>
      </c>
      <c r="AA55" s="16">
        <v>143</v>
      </c>
      <c r="AB55" s="16">
        <v>143</v>
      </c>
      <c r="AC55" s="16">
        <f>Table32[[#This Row],[Experimental_length9]]/Table32[[#This Row],[Predicted_length8]]</f>
        <v>1</v>
      </c>
      <c r="AD55" s="16">
        <v>0.92632999999999999</v>
      </c>
      <c r="AE55" s="16">
        <v>0.92632999999999999</v>
      </c>
      <c r="AF55" s="16">
        <v>1.76</v>
      </c>
      <c r="AG55" s="16">
        <v>143</v>
      </c>
      <c r="AH55" s="16">
        <v>1</v>
      </c>
      <c r="AI55" s="16">
        <v>143</v>
      </c>
      <c r="AJ55" s="16">
        <v>143</v>
      </c>
      <c r="AK55" s="17">
        <f>Table32[[#This Row],[Experimental_length8]]/Table32[[#This Row],[Predicted_length7]]</f>
        <v>1</v>
      </c>
    </row>
    <row r="56" spans="1:37" x14ac:dyDescent="0.2">
      <c r="A56" t="s">
        <v>340</v>
      </c>
      <c r="B56" t="s">
        <v>199</v>
      </c>
      <c r="C56">
        <v>2</v>
      </c>
      <c r="D56" t="s">
        <v>200</v>
      </c>
      <c r="E56" t="str">
        <f t="shared" si="2"/>
        <v>7A8X.C</v>
      </c>
      <c r="F56" t="s">
        <v>152</v>
      </c>
      <c r="G56" t="s">
        <v>201</v>
      </c>
      <c r="H56">
        <v>1</v>
      </c>
      <c r="I56" t="s">
        <v>332</v>
      </c>
      <c r="J56" t="s">
        <v>384</v>
      </c>
      <c r="K56" t="s">
        <v>333</v>
      </c>
      <c r="L56" t="s">
        <v>385</v>
      </c>
      <c r="M56" t="s">
        <v>198</v>
      </c>
      <c r="N56" s="16">
        <v>0.38696999999999998</v>
      </c>
      <c r="O56" s="16">
        <v>0.42946000000000001</v>
      </c>
      <c r="P56" s="16">
        <v>3.7</v>
      </c>
      <c r="Q56" s="16">
        <v>57</v>
      </c>
      <c r="R56" s="16">
        <v>0.70199999999999996</v>
      </c>
      <c r="S56" s="16">
        <v>93</v>
      </c>
      <c r="T56" s="16">
        <v>80</v>
      </c>
      <c r="U56" s="16">
        <f>Table32[[#This Row],[Experimental_length]]/Table32[[#This Row],[Predicted_length]]</f>
        <v>0.86021505376344087</v>
      </c>
      <c r="V56" s="16">
        <v>0.98187000000000002</v>
      </c>
      <c r="W56" s="16">
        <v>0.84718000000000004</v>
      </c>
      <c r="X56" s="16">
        <v>0.44</v>
      </c>
      <c r="Y56" s="16">
        <v>80</v>
      </c>
      <c r="Z56" s="16">
        <v>1</v>
      </c>
      <c r="AA56" s="16">
        <v>93</v>
      </c>
      <c r="AB56" s="16">
        <v>80</v>
      </c>
      <c r="AC56" s="16">
        <f>Table32[[#This Row],[Experimental_length9]]/Table32[[#This Row],[Predicted_length8]]</f>
        <v>0.86021505376344087</v>
      </c>
      <c r="AD56" s="16">
        <v>0.85109000000000001</v>
      </c>
      <c r="AE56" s="16">
        <v>0.98733000000000004</v>
      </c>
      <c r="AF56" s="16">
        <v>0.37</v>
      </c>
      <c r="AG56" s="16">
        <v>80</v>
      </c>
      <c r="AH56" s="16">
        <v>1</v>
      </c>
      <c r="AI56" s="16">
        <v>93</v>
      </c>
      <c r="AJ56" s="16">
        <v>80</v>
      </c>
      <c r="AK56" s="17">
        <f>Table32[[#This Row],[Experimental_length8]]/Table32[[#This Row],[Predicted_length7]]</f>
        <v>0.86021505376344087</v>
      </c>
    </row>
    <row r="57" spans="1:37" x14ac:dyDescent="0.2">
      <c r="A57" t="s">
        <v>353</v>
      </c>
      <c r="B57" t="s">
        <v>202</v>
      </c>
      <c r="C57">
        <v>1</v>
      </c>
      <c r="D57" t="s">
        <v>14</v>
      </c>
      <c r="E57" t="str">
        <f t="shared" si="2"/>
        <v>7AD5.A</v>
      </c>
      <c r="F57" t="s">
        <v>203</v>
      </c>
      <c r="G57" t="s">
        <v>204</v>
      </c>
      <c r="H57">
        <v>1</v>
      </c>
      <c r="I57" t="s">
        <v>332</v>
      </c>
      <c r="J57">
        <v>2.14</v>
      </c>
      <c r="K57" t="s">
        <v>333</v>
      </c>
      <c r="L57" t="s">
        <v>383</v>
      </c>
      <c r="M57" t="s">
        <v>205</v>
      </c>
      <c r="N57" s="16">
        <v>0.28098000000000001</v>
      </c>
      <c r="O57" s="16">
        <v>0.28249999999999997</v>
      </c>
      <c r="P57" s="16">
        <v>4.76</v>
      </c>
      <c r="Q57" s="16">
        <v>61</v>
      </c>
      <c r="R57" s="16">
        <v>0.47499999999999998</v>
      </c>
      <c r="S57" s="16">
        <v>125</v>
      </c>
      <c r="T57" s="16">
        <v>124</v>
      </c>
      <c r="U57" s="16">
        <f>Table32[[#This Row],[Experimental_length]]/Table32[[#This Row],[Predicted_length]]</f>
        <v>0.99199999999999999</v>
      </c>
      <c r="V57" s="16">
        <v>0.37217</v>
      </c>
      <c r="W57" s="16">
        <v>0.37010999999999999</v>
      </c>
      <c r="X57" s="16">
        <v>4.3</v>
      </c>
      <c r="Y57" s="16">
        <v>75</v>
      </c>
      <c r="Z57" s="16">
        <v>0.08</v>
      </c>
      <c r="AA57" s="16">
        <v>125</v>
      </c>
      <c r="AB57" s="16">
        <v>124</v>
      </c>
      <c r="AC57" s="16">
        <f>Table32[[#This Row],[Experimental_length9]]/Table32[[#This Row],[Predicted_length8]]</f>
        <v>0.99199999999999999</v>
      </c>
      <c r="AD57" s="16">
        <v>0.31352999999999998</v>
      </c>
      <c r="AE57" s="16">
        <v>0.31541000000000002</v>
      </c>
      <c r="AF57" s="16">
        <v>4.63</v>
      </c>
      <c r="AG57" s="16">
        <v>63</v>
      </c>
      <c r="AH57" s="16">
        <v>0</v>
      </c>
      <c r="AI57" s="16">
        <v>125</v>
      </c>
      <c r="AJ57" s="16">
        <v>124</v>
      </c>
      <c r="AK57" s="17">
        <f>Table32[[#This Row],[Experimental_length8]]/Table32[[#This Row],[Predicted_length7]]</f>
        <v>0.99199999999999999</v>
      </c>
    </row>
    <row r="58" spans="1:37" x14ac:dyDescent="0.2">
      <c r="A58" t="s">
        <v>340</v>
      </c>
      <c r="B58" t="s">
        <v>210</v>
      </c>
      <c r="C58">
        <v>2</v>
      </c>
      <c r="D58" t="s">
        <v>136</v>
      </c>
      <c r="E58" t="str">
        <f t="shared" si="2"/>
        <v>7B1I.B</v>
      </c>
      <c r="F58" t="s">
        <v>152</v>
      </c>
      <c r="G58" t="s">
        <v>38</v>
      </c>
      <c r="H58">
        <v>1</v>
      </c>
      <c r="I58" t="s">
        <v>332</v>
      </c>
      <c r="J58">
        <v>1.9</v>
      </c>
      <c r="K58" t="s">
        <v>333</v>
      </c>
      <c r="L58" t="s">
        <v>386</v>
      </c>
      <c r="M58" t="s">
        <v>209</v>
      </c>
      <c r="N58" s="16">
        <v>0.69665999999999995</v>
      </c>
      <c r="O58" s="16">
        <v>0.78996999999999995</v>
      </c>
      <c r="P58" s="16">
        <v>1.78</v>
      </c>
      <c r="Q58" s="16">
        <v>77</v>
      </c>
      <c r="R58" s="16">
        <v>0.87</v>
      </c>
      <c r="S58" s="16">
        <v>94</v>
      </c>
      <c r="T58" s="16">
        <v>81</v>
      </c>
      <c r="U58" s="16">
        <f>Table32[[#This Row],[Experimental_length]]/Table32[[#This Row],[Predicted_length]]</f>
        <v>0.86170212765957444</v>
      </c>
      <c r="V58" s="16">
        <v>0.98821000000000003</v>
      </c>
      <c r="W58" s="16">
        <v>0.85321000000000002</v>
      </c>
      <c r="X58" s="16">
        <v>0.35</v>
      </c>
      <c r="Y58" s="16">
        <v>81</v>
      </c>
      <c r="Z58" s="16">
        <v>1</v>
      </c>
      <c r="AA58" s="16">
        <v>94</v>
      </c>
      <c r="AB58" s="16">
        <v>81</v>
      </c>
      <c r="AC58" s="16">
        <f>Table32[[#This Row],[Experimental_length9]]/Table32[[#This Row],[Predicted_length8]]</f>
        <v>0.86170212765957444</v>
      </c>
      <c r="AD58" s="16">
        <v>0.85314999999999996</v>
      </c>
      <c r="AE58" s="16">
        <v>0.98814000000000002</v>
      </c>
      <c r="AF58" s="16">
        <v>0.36</v>
      </c>
      <c r="AG58" s="16">
        <v>81</v>
      </c>
      <c r="AH58" s="16">
        <v>1</v>
      </c>
      <c r="AI58" s="16">
        <v>94</v>
      </c>
      <c r="AJ58" s="16">
        <v>81</v>
      </c>
      <c r="AK58" s="17">
        <f>Table32[[#This Row],[Experimental_length8]]/Table32[[#This Row],[Predicted_length7]]</f>
        <v>0.86170212765957444</v>
      </c>
    </row>
    <row r="59" spans="1:37" x14ac:dyDescent="0.2">
      <c r="A59" t="s">
        <v>351</v>
      </c>
      <c r="B59" t="s">
        <v>211</v>
      </c>
      <c r="C59">
        <v>1</v>
      </c>
      <c r="D59" t="s">
        <v>14</v>
      </c>
      <c r="E59" t="str">
        <f t="shared" si="2"/>
        <v>7EAU.A</v>
      </c>
      <c r="F59" t="s">
        <v>212</v>
      </c>
      <c r="G59" t="s">
        <v>213</v>
      </c>
      <c r="H59">
        <v>1</v>
      </c>
      <c r="I59" t="s">
        <v>328</v>
      </c>
      <c r="J59">
        <v>0</v>
      </c>
      <c r="K59" t="s">
        <v>333</v>
      </c>
      <c r="L59" t="s">
        <v>387</v>
      </c>
      <c r="M59" t="s">
        <v>214</v>
      </c>
      <c r="N59" s="16">
        <v>0.48496</v>
      </c>
      <c r="O59" s="16">
        <v>0.48887999999999998</v>
      </c>
      <c r="P59" s="16">
        <v>2.78</v>
      </c>
      <c r="Q59" s="16">
        <v>45</v>
      </c>
      <c r="R59" s="16">
        <v>0.64400000000000002</v>
      </c>
      <c r="S59" s="16">
        <v>50</v>
      </c>
      <c r="T59" s="16">
        <v>49</v>
      </c>
      <c r="U59" s="16">
        <f>Table32[[#This Row],[Experimental_length]]/Table32[[#This Row],[Predicted_length]]</f>
        <v>0.98</v>
      </c>
      <c r="V59" s="16">
        <v>0.69479999999999997</v>
      </c>
      <c r="W59" s="16">
        <v>0.68618000000000001</v>
      </c>
      <c r="X59" s="16">
        <v>1.72</v>
      </c>
      <c r="Y59" s="16">
        <v>48</v>
      </c>
      <c r="Z59" s="16">
        <v>0.95799999999999996</v>
      </c>
      <c r="AA59" s="16">
        <v>50</v>
      </c>
      <c r="AB59" s="16">
        <v>49</v>
      </c>
      <c r="AC59" s="16">
        <f>Table32[[#This Row],[Experimental_length9]]/Table32[[#This Row],[Predicted_length8]]</f>
        <v>0.98</v>
      </c>
      <c r="AD59" s="16">
        <v>0.72382999999999997</v>
      </c>
      <c r="AE59" s="16">
        <v>0.73401000000000005</v>
      </c>
      <c r="AF59" s="16">
        <v>1.97</v>
      </c>
      <c r="AG59" s="16">
        <v>49</v>
      </c>
      <c r="AH59" s="16">
        <v>1</v>
      </c>
      <c r="AI59" s="16">
        <v>50</v>
      </c>
      <c r="AJ59" s="16">
        <v>49</v>
      </c>
      <c r="AK59" s="17">
        <f>Table32[[#This Row],[Experimental_length8]]/Table32[[#This Row],[Predicted_length7]]</f>
        <v>0.98</v>
      </c>
    </row>
    <row r="60" spans="1:37" x14ac:dyDescent="0.2">
      <c r="A60" t="s">
        <v>388</v>
      </c>
      <c r="B60" t="s">
        <v>215</v>
      </c>
      <c r="C60">
        <v>1</v>
      </c>
      <c r="D60" t="s">
        <v>14</v>
      </c>
      <c r="E60" t="str">
        <f t="shared" si="2"/>
        <v>7MQQ.A</v>
      </c>
      <c r="F60" t="s">
        <v>216</v>
      </c>
      <c r="G60" t="s">
        <v>217</v>
      </c>
      <c r="H60">
        <v>1</v>
      </c>
      <c r="I60" t="s">
        <v>332</v>
      </c>
      <c r="J60">
        <v>1.1499999999999999</v>
      </c>
      <c r="K60" t="s">
        <v>333</v>
      </c>
      <c r="L60" t="s">
        <v>389</v>
      </c>
      <c r="M60" t="s">
        <v>218</v>
      </c>
      <c r="N60" s="16">
        <v>0.28622999999999998</v>
      </c>
      <c r="O60" s="16">
        <v>0.28788999999999998</v>
      </c>
      <c r="P60" s="16">
        <v>4.7300000000000004</v>
      </c>
      <c r="Q60" s="16">
        <v>58</v>
      </c>
      <c r="R60" s="16">
        <v>5.1999999999999998E-2</v>
      </c>
      <c r="S60" s="16">
        <v>114</v>
      </c>
      <c r="T60" s="16">
        <v>113</v>
      </c>
      <c r="U60" s="16">
        <f>Table32[[#This Row],[Experimental_length]]/Table32[[#This Row],[Predicted_length]]</f>
        <v>0.99122807017543857</v>
      </c>
      <c r="V60" s="16">
        <v>0.31834000000000001</v>
      </c>
      <c r="W60" s="16">
        <v>0.31646000000000002</v>
      </c>
      <c r="X60" s="16">
        <v>4.79</v>
      </c>
      <c r="Y60" s="16">
        <v>64</v>
      </c>
      <c r="Z60" s="16">
        <v>0.42199999999999999</v>
      </c>
      <c r="AA60" s="16">
        <v>114</v>
      </c>
      <c r="AB60" s="16">
        <v>113</v>
      </c>
      <c r="AC60" s="16">
        <f>Table32[[#This Row],[Experimental_length9]]/Table32[[#This Row],[Predicted_length8]]</f>
        <v>0.99122807017543857</v>
      </c>
      <c r="AD60" s="16">
        <v>0.29838999999999999</v>
      </c>
      <c r="AE60" s="16">
        <v>0.29998999999999998</v>
      </c>
      <c r="AF60" s="16">
        <v>4.9000000000000004</v>
      </c>
      <c r="AG60" s="16">
        <v>66</v>
      </c>
      <c r="AH60" s="16">
        <v>0.60599999999999998</v>
      </c>
      <c r="AI60" s="16">
        <v>114</v>
      </c>
      <c r="AJ60" s="16">
        <v>113</v>
      </c>
      <c r="AK60" s="17">
        <f>Table32[[#This Row],[Experimental_length8]]/Table32[[#This Row],[Predicted_length7]]</f>
        <v>0.99122807017543857</v>
      </c>
    </row>
    <row r="61" spans="1:37" x14ac:dyDescent="0.2">
      <c r="A61" t="s">
        <v>337</v>
      </c>
      <c r="B61" t="s">
        <v>223</v>
      </c>
      <c r="C61">
        <v>2</v>
      </c>
      <c r="D61" t="s">
        <v>19</v>
      </c>
      <c r="E61" t="str">
        <f t="shared" si="2"/>
        <v>7NLJ.B</v>
      </c>
      <c r="F61" t="s">
        <v>224</v>
      </c>
      <c r="G61" t="s">
        <v>225</v>
      </c>
      <c r="H61">
        <v>1</v>
      </c>
      <c r="I61" t="s">
        <v>332</v>
      </c>
      <c r="J61">
        <v>1.8</v>
      </c>
      <c r="K61" t="s">
        <v>333</v>
      </c>
      <c r="L61" t="s">
        <v>390</v>
      </c>
      <c r="M61" t="s">
        <v>222</v>
      </c>
      <c r="N61" s="16">
        <v>0.35893999999999998</v>
      </c>
      <c r="O61" s="16">
        <v>0.36326000000000003</v>
      </c>
      <c r="P61" s="16">
        <v>4.16</v>
      </c>
      <c r="Q61" s="16">
        <v>62</v>
      </c>
      <c r="R61" s="16">
        <v>6.5000000000000002E-2</v>
      </c>
      <c r="S61" s="16">
        <v>93</v>
      </c>
      <c r="T61" s="16">
        <v>91</v>
      </c>
      <c r="U61" s="16">
        <f>Table32[[#This Row],[Experimental_length]]/Table32[[#This Row],[Predicted_length]]</f>
        <v>0.978494623655914</v>
      </c>
      <c r="V61" s="16">
        <v>0.90851999999999999</v>
      </c>
      <c r="W61" s="16">
        <v>0.89009000000000005</v>
      </c>
      <c r="X61" s="16">
        <v>1.08</v>
      </c>
      <c r="Y61" s="16">
        <v>88</v>
      </c>
      <c r="Z61" s="16">
        <v>0.92</v>
      </c>
      <c r="AA61" s="16">
        <v>93</v>
      </c>
      <c r="AB61" s="16">
        <v>91</v>
      </c>
      <c r="AC61" s="16">
        <f>Table32[[#This Row],[Experimental_length9]]/Table32[[#This Row],[Predicted_length8]]</f>
        <v>0.978494623655914</v>
      </c>
      <c r="AD61" s="16">
        <v>0.95067000000000002</v>
      </c>
      <c r="AE61" s="16">
        <v>0.97087000000000001</v>
      </c>
      <c r="AF61" s="16">
        <v>0.62</v>
      </c>
      <c r="AG61" s="16">
        <v>91</v>
      </c>
      <c r="AH61" s="16">
        <v>0.98899999999999999</v>
      </c>
      <c r="AI61" s="16">
        <v>93</v>
      </c>
      <c r="AJ61" s="16">
        <v>91</v>
      </c>
      <c r="AK61" s="17">
        <f>Table32[[#This Row],[Experimental_length8]]/Table32[[#This Row],[Predicted_length7]]</f>
        <v>0.978494623655914</v>
      </c>
    </row>
    <row r="62" spans="1:37" x14ac:dyDescent="0.2">
      <c r="A62" t="s">
        <v>340</v>
      </c>
      <c r="B62" t="s">
        <v>229</v>
      </c>
      <c r="C62">
        <v>2</v>
      </c>
      <c r="D62" t="s">
        <v>230</v>
      </c>
      <c r="E62" t="str">
        <f t="shared" si="2"/>
        <v>7NMM.I</v>
      </c>
      <c r="F62" t="s">
        <v>231</v>
      </c>
      <c r="G62" t="s">
        <v>232</v>
      </c>
      <c r="H62">
        <v>1</v>
      </c>
      <c r="I62" t="s">
        <v>332</v>
      </c>
      <c r="J62">
        <v>2.2999999999999998</v>
      </c>
      <c r="K62" t="s">
        <v>333</v>
      </c>
      <c r="L62" t="s">
        <v>390</v>
      </c>
      <c r="M62" t="s">
        <v>228</v>
      </c>
      <c r="N62" s="16">
        <v>0.30623</v>
      </c>
      <c r="O62" s="16">
        <v>0.31320999999999999</v>
      </c>
      <c r="P62" s="16">
        <v>4.5999999999999996</v>
      </c>
      <c r="Q62" s="16">
        <v>58</v>
      </c>
      <c r="R62" s="16">
        <v>5.1999999999999998E-2</v>
      </c>
      <c r="S62" s="16">
        <v>95</v>
      </c>
      <c r="T62" s="16">
        <v>91</v>
      </c>
      <c r="U62" s="16">
        <f>Table32[[#This Row],[Experimental_length]]/Table32[[#This Row],[Predicted_length]]</f>
        <v>0.95789473684210524</v>
      </c>
      <c r="V62" s="16">
        <v>0.97763999999999995</v>
      </c>
      <c r="W62" s="16">
        <v>0.93752000000000002</v>
      </c>
      <c r="X62" s="16">
        <v>0.53</v>
      </c>
      <c r="Y62" s="16">
        <v>91</v>
      </c>
      <c r="Z62" s="16">
        <v>1</v>
      </c>
      <c r="AA62" s="16">
        <v>95</v>
      </c>
      <c r="AB62" s="16">
        <v>91</v>
      </c>
      <c r="AC62" s="16">
        <f>Table32[[#This Row],[Experimental_length9]]/Table32[[#This Row],[Predicted_length8]]</f>
        <v>0.95789473684210524</v>
      </c>
      <c r="AD62" s="16">
        <v>0.93725999999999998</v>
      </c>
      <c r="AE62" s="16">
        <v>0.97743999999999998</v>
      </c>
      <c r="AF62" s="16">
        <v>0.55000000000000004</v>
      </c>
      <c r="AG62" s="16">
        <v>91</v>
      </c>
      <c r="AH62" s="16">
        <v>1</v>
      </c>
      <c r="AI62" s="16">
        <v>95</v>
      </c>
      <c r="AJ62" s="16">
        <v>91</v>
      </c>
      <c r="AK62" s="17">
        <f>Table32[[#This Row],[Experimental_length8]]/Table32[[#This Row],[Predicted_length7]]</f>
        <v>0.95789473684210524</v>
      </c>
    </row>
    <row r="63" spans="1:37" x14ac:dyDescent="0.2">
      <c r="A63" t="s">
        <v>391</v>
      </c>
      <c r="B63" t="s">
        <v>236</v>
      </c>
      <c r="C63">
        <v>2</v>
      </c>
      <c r="D63" t="s">
        <v>19</v>
      </c>
      <c r="E63" t="str">
        <f t="shared" si="2"/>
        <v>7PP2.B</v>
      </c>
      <c r="F63" t="s">
        <v>237</v>
      </c>
      <c r="G63" t="s">
        <v>238</v>
      </c>
      <c r="H63">
        <v>1</v>
      </c>
      <c r="I63" t="s">
        <v>332</v>
      </c>
      <c r="J63">
        <v>2.69</v>
      </c>
      <c r="K63" t="s">
        <v>333</v>
      </c>
      <c r="L63" t="s">
        <v>392</v>
      </c>
      <c r="M63" t="s">
        <v>235</v>
      </c>
      <c r="N63" s="16">
        <v>0.42559000000000002</v>
      </c>
      <c r="O63" s="16">
        <v>0.69559000000000004</v>
      </c>
      <c r="P63" s="16">
        <v>1.76</v>
      </c>
      <c r="Q63" s="16">
        <v>25</v>
      </c>
      <c r="R63" s="16">
        <v>1</v>
      </c>
      <c r="S63" s="16">
        <v>51</v>
      </c>
      <c r="T63" s="16">
        <v>27</v>
      </c>
      <c r="U63" s="16">
        <f>Table32[[#This Row],[Experimental_length]]/Table32[[#This Row],[Predicted_length]]</f>
        <v>0.52941176470588236</v>
      </c>
      <c r="V63" s="16">
        <v>0.60834999999999995</v>
      </c>
      <c r="W63" s="16">
        <v>0.37863000000000002</v>
      </c>
      <c r="X63" s="16">
        <v>1.54</v>
      </c>
      <c r="Y63" s="16">
        <v>22</v>
      </c>
      <c r="Z63" s="16">
        <v>0.95499999999999996</v>
      </c>
      <c r="AA63" s="16">
        <v>51</v>
      </c>
      <c r="AB63" s="16">
        <v>27</v>
      </c>
      <c r="AC63" s="16">
        <f>Table32[[#This Row],[Experimental_length9]]/Table32[[#This Row],[Predicted_length8]]</f>
        <v>0.52941176470588236</v>
      </c>
      <c r="AD63" s="16">
        <v>0.43175000000000002</v>
      </c>
      <c r="AE63" s="16">
        <v>0.73995999999999995</v>
      </c>
      <c r="AF63" s="16">
        <v>1.48</v>
      </c>
      <c r="AG63" s="16">
        <v>24</v>
      </c>
      <c r="AH63" s="16">
        <v>1</v>
      </c>
      <c r="AI63" s="16">
        <v>51</v>
      </c>
      <c r="AJ63" s="16">
        <v>27</v>
      </c>
      <c r="AK63" s="17">
        <f>Table32[[#This Row],[Experimental_length8]]/Table32[[#This Row],[Predicted_length7]]</f>
        <v>0.52941176470588236</v>
      </c>
    </row>
    <row r="64" spans="1:37" x14ac:dyDescent="0.2">
      <c r="A64" t="s">
        <v>393</v>
      </c>
      <c r="B64" t="s">
        <v>239</v>
      </c>
      <c r="C64">
        <v>1</v>
      </c>
      <c r="D64" t="s">
        <v>14</v>
      </c>
      <c r="E64" t="str">
        <f t="shared" si="2"/>
        <v>7T69.A</v>
      </c>
      <c r="F64" t="s">
        <v>240</v>
      </c>
      <c r="G64" t="s">
        <v>241</v>
      </c>
      <c r="H64">
        <v>1</v>
      </c>
      <c r="I64" t="s">
        <v>332</v>
      </c>
      <c r="J64">
        <v>1.68</v>
      </c>
      <c r="K64" t="s">
        <v>365</v>
      </c>
      <c r="L64" t="s">
        <v>365</v>
      </c>
      <c r="M64" t="s">
        <v>242</v>
      </c>
      <c r="N64" s="16">
        <v>0.27176</v>
      </c>
      <c r="O64" s="16">
        <v>0.32180999999999998</v>
      </c>
      <c r="P64" s="16">
        <v>6.07</v>
      </c>
      <c r="Q64" s="16">
        <v>122</v>
      </c>
      <c r="R64" s="16">
        <v>7.3999999999999996E-2</v>
      </c>
      <c r="S64" s="16">
        <v>267</v>
      </c>
      <c r="T64" s="16">
        <v>209</v>
      </c>
      <c r="U64" s="16">
        <f>Table32[[#This Row],[Experimental_length]]/Table32[[#This Row],[Predicted_length]]</f>
        <v>0.78277153558052437</v>
      </c>
      <c r="V64" s="16">
        <v>0.95801999999999998</v>
      </c>
      <c r="W64" s="16">
        <v>0.75583</v>
      </c>
      <c r="X64" s="16">
        <v>1.21</v>
      </c>
      <c r="Y64" s="16">
        <v>209</v>
      </c>
      <c r="Z64" s="16">
        <v>0.99</v>
      </c>
      <c r="AA64" s="16">
        <v>267</v>
      </c>
      <c r="AB64" s="16">
        <v>209</v>
      </c>
      <c r="AC64" s="16">
        <f>Table32[[#This Row],[Experimental_length9]]/Table32[[#This Row],[Predicted_length8]]</f>
        <v>0.78277153558052437</v>
      </c>
      <c r="AD64" s="16">
        <v>0.74895</v>
      </c>
      <c r="AE64" s="16">
        <v>0.94703999999999999</v>
      </c>
      <c r="AF64" s="16">
        <v>1.34</v>
      </c>
      <c r="AG64" s="16">
        <v>209</v>
      </c>
      <c r="AH64" s="16">
        <v>0.97599999999999998</v>
      </c>
      <c r="AI64" s="16">
        <v>267</v>
      </c>
      <c r="AJ64" s="16">
        <v>209</v>
      </c>
      <c r="AK64" s="17">
        <f>Table32[[#This Row],[Experimental_length8]]/Table32[[#This Row],[Predicted_length7]]</f>
        <v>0.78277153558052437</v>
      </c>
    </row>
    <row r="65" spans="1:37" x14ac:dyDescent="0.2">
      <c r="A65" t="s">
        <v>393</v>
      </c>
      <c r="B65" t="s">
        <v>243</v>
      </c>
      <c r="C65">
        <v>2</v>
      </c>
      <c r="D65" t="s">
        <v>26</v>
      </c>
      <c r="E65" t="str">
        <f t="shared" si="2"/>
        <v>7T6A.A</v>
      </c>
      <c r="F65" t="s">
        <v>244</v>
      </c>
      <c r="G65" t="s">
        <v>241</v>
      </c>
      <c r="H65">
        <v>1</v>
      </c>
      <c r="I65" t="s">
        <v>332</v>
      </c>
      <c r="J65">
        <v>1.65</v>
      </c>
      <c r="K65" t="s">
        <v>365</v>
      </c>
      <c r="L65" t="s">
        <v>365</v>
      </c>
      <c r="M65" t="s">
        <v>242</v>
      </c>
      <c r="N65" s="16">
        <v>0.35814000000000001</v>
      </c>
      <c r="O65" s="16">
        <v>0.35814000000000001</v>
      </c>
      <c r="P65" s="16">
        <v>4.88</v>
      </c>
      <c r="Q65" s="16">
        <v>104</v>
      </c>
      <c r="R65" s="16">
        <v>0.45200000000000001</v>
      </c>
      <c r="S65" s="16">
        <v>185</v>
      </c>
      <c r="T65" s="16">
        <v>185</v>
      </c>
      <c r="U65" s="16">
        <f>Table32[[#This Row],[Experimental_length]]/Table32[[#This Row],[Predicted_length]]</f>
        <v>1</v>
      </c>
      <c r="V65" s="16">
        <v>0.36558000000000002</v>
      </c>
      <c r="W65" s="16">
        <v>0.36558000000000002</v>
      </c>
      <c r="X65" s="16">
        <v>5.28</v>
      </c>
      <c r="Y65" s="16">
        <v>107</v>
      </c>
      <c r="Z65" s="16">
        <v>0.53300000000000003</v>
      </c>
      <c r="AA65" s="16">
        <v>185</v>
      </c>
      <c r="AB65" s="16">
        <v>185</v>
      </c>
      <c r="AC65" s="16">
        <f>Table32[[#This Row],[Experimental_length9]]/Table32[[#This Row],[Predicted_length8]]</f>
        <v>1</v>
      </c>
      <c r="AD65" s="16">
        <v>0.44619999999999999</v>
      </c>
      <c r="AE65" s="16">
        <v>0.44619999999999999</v>
      </c>
      <c r="AF65" s="16">
        <v>3.1</v>
      </c>
      <c r="AG65" s="16">
        <v>105</v>
      </c>
      <c r="AH65" s="16">
        <v>0.77100000000000002</v>
      </c>
      <c r="AI65" s="16">
        <v>185</v>
      </c>
      <c r="AJ65" s="16">
        <v>185</v>
      </c>
      <c r="AK65" s="17">
        <f>Table32[[#This Row],[Experimental_length8]]/Table32[[#This Row],[Predicted_length7]]</f>
        <v>1</v>
      </c>
    </row>
    <row r="66" spans="1:37" x14ac:dyDescent="0.2">
      <c r="A66" t="s">
        <v>394</v>
      </c>
      <c r="B66" t="s">
        <v>253</v>
      </c>
      <c r="C66">
        <v>2</v>
      </c>
      <c r="D66" t="s">
        <v>254</v>
      </c>
      <c r="E66" t="str">
        <f t="shared" si="2"/>
        <v>7XC2.B</v>
      </c>
      <c r="F66" t="s">
        <v>255</v>
      </c>
      <c r="G66" t="s">
        <v>217</v>
      </c>
      <c r="H66">
        <v>1</v>
      </c>
      <c r="I66" t="s">
        <v>395</v>
      </c>
      <c r="J66">
        <v>3</v>
      </c>
      <c r="K66" t="s">
        <v>333</v>
      </c>
      <c r="L66" t="s">
        <v>396</v>
      </c>
      <c r="M66" t="s">
        <v>252</v>
      </c>
      <c r="N66" s="16">
        <v>0.48585</v>
      </c>
      <c r="O66" s="16">
        <v>0.48843999999999999</v>
      </c>
      <c r="P66" s="16">
        <v>6.13</v>
      </c>
      <c r="Q66" s="16">
        <v>315</v>
      </c>
      <c r="R66" s="16">
        <v>0.41</v>
      </c>
      <c r="S66" s="16">
        <v>434</v>
      </c>
      <c r="T66" s="16">
        <v>431</v>
      </c>
      <c r="U66" s="16">
        <f>Table32[[#This Row],[Experimental_length]]/Table32[[#This Row],[Predicted_length]]</f>
        <v>0.99308755760368661</v>
      </c>
      <c r="V66" s="16">
        <v>0.88719000000000003</v>
      </c>
      <c r="W66" s="16">
        <v>0.88153999999999999</v>
      </c>
      <c r="X66" s="16">
        <v>2.88</v>
      </c>
      <c r="Y66" s="16">
        <v>428</v>
      </c>
      <c r="Z66" s="16">
        <v>0.96</v>
      </c>
      <c r="AA66" s="16">
        <v>434</v>
      </c>
      <c r="AB66" s="16">
        <v>431</v>
      </c>
      <c r="AC66" s="16">
        <f>Table32[[#This Row],[Experimental_length9]]/Table32[[#This Row],[Predicted_length8]]</f>
        <v>0.99308755760368661</v>
      </c>
      <c r="AD66" s="16">
        <v>0.43325999999999998</v>
      </c>
      <c r="AE66" s="16">
        <v>0.43578</v>
      </c>
      <c r="AF66" s="16">
        <v>5.99</v>
      </c>
      <c r="AG66" s="16">
        <v>262</v>
      </c>
      <c r="AH66" s="16">
        <v>0.46600000000000003</v>
      </c>
      <c r="AI66" s="16">
        <v>434</v>
      </c>
      <c r="AJ66" s="16">
        <v>431</v>
      </c>
      <c r="AK66" s="17">
        <f>Table32[[#This Row],[Experimental_length8]]/Table32[[#This Row],[Predicted_length7]]</f>
        <v>0.99308755760368661</v>
      </c>
    </row>
    <row r="67" spans="1:37" x14ac:dyDescent="0.2">
      <c r="A67" t="s">
        <v>394</v>
      </c>
      <c r="B67" t="s">
        <v>256</v>
      </c>
      <c r="C67">
        <v>1</v>
      </c>
      <c r="D67" t="s">
        <v>26</v>
      </c>
      <c r="E67" t="str">
        <f t="shared" si="2"/>
        <v>7XDS.A</v>
      </c>
      <c r="F67" t="s">
        <v>257</v>
      </c>
      <c r="G67" t="s">
        <v>217</v>
      </c>
      <c r="H67">
        <v>1</v>
      </c>
      <c r="I67" t="s">
        <v>332</v>
      </c>
      <c r="J67">
        <v>2.06</v>
      </c>
      <c r="K67" t="s">
        <v>333</v>
      </c>
      <c r="L67" t="s">
        <v>397</v>
      </c>
      <c r="M67" t="s">
        <v>258</v>
      </c>
      <c r="N67" s="16">
        <v>0.18726999999999999</v>
      </c>
      <c r="O67" s="16">
        <v>0.85223000000000004</v>
      </c>
      <c r="P67" s="16">
        <v>1.83</v>
      </c>
      <c r="Q67" s="16">
        <v>111</v>
      </c>
      <c r="R67" s="16">
        <v>0.88300000000000001</v>
      </c>
      <c r="S67" s="16">
        <v>575</v>
      </c>
      <c r="T67" s="16">
        <v>121</v>
      </c>
      <c r="U67" s="16">
        <f>Table32[[#This Row],[Experimental_length]]/Table32[[#This Row],[Predicted_length]]</f>
        <v>0.21043478260869566</v>
      </c>
      <c r="V67" s="16">
        <v>0.93171000000000004</v>
      </c>
      <c r="W67" s="16">
        <v>0.59677000000000002</v>
      </c>
      <c r="X67" s="16">
        <v>2.11</v>
      </c>
      <c r="Y67" s="16">
        <v>360</v>
      </c>
      <c r="Z67" s="16">
        <v>0.93899999999999995</v>
      </c>
      <c r="AA67" s="16">
        <v>575</v>
      </c>
      <c r="AB67" s="16">
        <v>362</v>
      </c>
      <c r="AC67" s="16">
        <f>Table32[[#This Row],[Experimental_length9]]/Table32[[#This Row],[Predicted_length8]]</f>
        <v>0.62956521739130433</v>
      </c>
      <c r="AD67" s="16">
        <v>0.16833000000000001</v>
      </c>
      <c r="AE67" s="16">
        <v>0.74397999999999997</v>
      </c>
      <c r="AF67" s="16">
        <v>2.02</v>
      </c>
      <c r="AG67" s="16">
        <v>101</v>
      </c>
      <c r="AH67" s="16">
        <v>0.96</v>
      </c>
      <c r="AI67" s="16">
        <v>575</v>
      </c>
      <c r="AJ67" s="16">
        <v>121</v>
      </c>
      <c r="AK67" s="17">
        <f>Table32[[#This Row],[Experimental_length8]]/Table32[[#This Row],[Predicted_length7]]</f>
        <v>0.21043478260869566</v>
      </c>
    </row>
    <row r="68" spans="1:37" x14ac:dyDescent="0.2">
      <c r="A68" t="s">
        <v>394</v>
      </c>
      <c r="B68" t="s">
        <v>263</v>
      </c>
      <c r="C68">
        <v>2</v>
      </c>
      <c r="D68" t="s">
        <v>264</v>
      </c>
      <c r="E68" t="str">
        <f t="shared" si="2"/>
        <v>7XE0.B</v>
      </c>
      <c r="F68" t="s">
        <v>257</v>
      </c>
      <c r="G68" t="s">
        <v>217</v>
      </c>
      <c r="H68">
        <v>1</v>
      </c>
      <c r="I68" t="s">
        <v>395</v>
      </c>
      <c r="J68">
        <v>3.33</v>
      </c>
      <c r="K68" t="s">
        <v>333</v>
      </c>
      <c r="L68" t="s">
        <v>398</v>
      </c>
      <c r="M68" t="s">
        <v>262</v>
      </c>
      <c r="N68" s="16">
        <v>0.54564999999999997</v>
      </c>
      <c r="O68" s="16">
        <v>0.75643000000000005</v>
      </c>
      <c r="P68" s="16">
        <v>4.29</v>
      </c>
      <c r="Q68" s="16">
        <v>378</v>
      </c>
      <c r="R68" s="16">
        <v>0.76500000000000001</v>
      </c>
      <c r="S68" s="16">
        <v>575</v>
      </c>
      <c r="T68" s="16">
        <v>394</v>
      </c>
      <c r="U68" s="16">
        <f>Table32[[#This Row],[Experimental_length]]/Table32[[#This Row],[Predicted_length]]</f>
        <v>0.68521739130434778</v>
      </c>
      <c r="V68" s="16">
        <v>0.90281</v>
      </c>
      <c r="W68" s="16">
        <v>0.63166</v>
      </c>
      <c r="X68" s="16">
        <v>2.4500000000000002</v>
      </c>
      <c r="Y68" s="16">
        <v>389</v>
      </c>
      <c r="Z68" s="16">
        <v>0.95899999999999996</v>
      </c>
      <c r="AA68" s="16">
        <v>575</v>
      </c>
      <c r="AB68" s="16">
        <v>394</v>
      </c>
      <c r="AC68" s="16">
        <f>Table32[[#This Row],[Experimental_length9]]/Table32[[#This Row],[Predicted_length8]]</f>
        <v>0.68521739130434778</v>
      </c>
      <c r="AD68" s="16">
        <v>0.27605000000000002</v>
      </c>
      <c r="AE68" s="16">
        <v>0.36619000000000002</v>
      </c>
      <c r="AF68" s="16">
        <v>6.82</v>
      </c>
      <c r="AG68" s="16">
        <v>239</v>
      </c>
      <c r="AH68" s="16">
        <v>0.109</v>
      </c>
      <c r="AI68" s="16">
        <v>575</v>
      </c>
      <c r="AJ68" s="16">
        <v>394</v>
      </c>
      <c r="AK68" s="17">
        <f>Table32[[#This Row],[Experimental_length8]]/Table32[[#This Row],[Predicted_length7]]</f>
        <v>0.68521739130434778</v>
      </c>
    </row>
    <row r="69" spans="1:37" x14ac:dyDescent="0.2">
      <c r="A69" t="s">
        <v>394</v>
      </c>
      <c r="B69" t="s">
        <v>267</v>
      </c>
      <c r="C69">
        <v>2</v>
      </c>
      <c r="D69" t="s">
        <v>19</v>
      </c>
      <c r="E69" t="str">
        <f t="shared" si="2"/>
        <v>7XVG.B</v>
      </c>
      <c r="F69" t="s">
        <v>257</v>
      </c>
      <c r="G69" t="s">
        <v>217</v>
      </c>
      <c r="H69">
        <v>1</v>
      </c>
      <c r="I69" t="s">
        <v>395</v>
      </c>
      <c r="J69">
        <v>3.6</v>
      </c>
      <c r="K69" t="s">
        <v>333</v>
      </c>
      <c r="L69" t="s">
        <v>398</v>
      </c>
      <c r="M69" t="s">
        <v>266</v>
      </c>
      <c r="N69" s="16">
        <v>0.38114999999999999</v>
      </c>
      <c r="O69" s="16">
        <v>0.42748999999999998</v>
      </c>
      <c r="P69" s="16">
        <v>6.1</v>
      </c>
      <c r="Q69" s="16">
        <v>250</v>
      </c>
      <c r="R69" s="16">
        <v>0.46</v>
      </c>
      <c r="S69" s="16">
        <v>441</v>
      </c>
      <c r="T69" s="16">
        <v>379</v>
      </c>
      <c r="U69" s="16">
        <f>Table32[[#This Row],[Experimental_length]]/Table32[[#This Row],[Predicted_length]]</f>
        <v>0.85941043083900226</v>
      </c>
      <c r="V69" s="16">
        <v>0.91452</v>
      </c>
      <c r="W69" s="16">
        <v>0.79276000000000002</v>
      </c>
      <c r="X69" s="16">
        <v>2.48</v>
      </c>
      <c r="Y69" s="16">
        <v>379</v>
      </c>
      <c r="Z69" s="16">
        <v>0.97899999999999998</v>
      </c>
      <c r="AA69" s="16">
        <v>441</v>
      </c>
      <c r="AB69" s="16">
        <v>379</v>
      </c>
      <c r="AC69" s="16">
        <f>Table32[[#This Row],[Experimental_length9]]/Table32[[#This Row],[Predicted_length8]]</f>
        <v>0.85941043083900226</v>
      </c>
      <c r="AD69" s="16">
        <v>0.38766</v>
      </c>
      <c r="AE69" s="16">
        <v>0.44</v>
      </c>
      <c r="AF69" s="16">
        <v>5.39</v>
      </c>
      <c r="AG69" s="16">
        <v>228</v>
      </c>
      <c r="AH69" s="16">
        <v>0.48699999999999999</v>
      </c>
      <c r="AI69" s="16">
        <v>441</v>
      </c>
      <c r="AJ69" s="16">
        <v>379</v>
      </c>
      <c r="AK69" s="17">
        <f>Table32[[#This Row],[Experimental_length8]]/Table32[[#This Row],[Predicted_length7]]</f>
        <v>0.85941043083900226</v>
      </c>
    </row>
    <row r="70" spans="1:37" x14ac:dyDescent="0.2">
      <c r="A70" t="s">
        <v>340</v>
      </c>
      <c r="B70" t="s">
        <v>268</v>
      </c>
      <c r="C70">
        <v>1</v>
      </c>
      <c r="D70" t="s">
        <v>14</v>
      </c>
      <c r="E70" t="str">
        <f t="shared" si="2"/>
        <v>7ZJY.A</v>
      </c>
      <c r="F70" t="s">
        <v>269</v>
      </c>
      <c r="G70" t="s">
        <v>238</v>
      </c>
      <c r="H70">
        <v>1</v>
      </c>
      <c r="I70" t="s">
        <v>328</v>
      </c>
      <c r="J70">
        <v>0</v>
      </c>
      <c r="K70" t="s">
        <v>333</v>
      </c>
      <c r="L70" t="s">
        <v>379</v>
      </c>
      <c r="M70" t="s">
        <v>270</v>
      </c>
      <c r="N70" s="16">
        <v>0.75200999999999996</v>
      </c>
      <c r="O70" s="16">
        <v>0.75200999999999996</v>
      </c>
      <c r="P70" s="16">
        <v>1.76</v>
      </c>
      <c r="Q70" s="16">
        <v>56</v>
      </c>
      <c r="R70" s="16">
        <v>1</v>
      </c>
      <c r="S70" s="16">
        <v>60</v>
      </c>
      <c r="T70" s="16">
        <v>60</v>
      </c>
      <c r="U70" s="16">
        <f>Table32[[#This Row],[Experimental_length]]/Table32[[#This Row],[Predicted_length]]</f>
        <v>1</v>
      </c>
      <c r="V70" s="16">
        <v>0.83352999999999999</v>
      </c>
      <c r="W70" s="16">
        <v>0.83352999999999999</v>
      </c>
      <c r="X70" s="16">
        <v>1.73</v>
      </c>
      <c r="Y70" s="16">
        <v>59</v>
      </c>
      <c r="Z70" s="16">
        <v>1</v>
      </c>
      <c r="AA70" s="16">
        <v>60</v>
      </c>
      <c r="AB70" s="16">
        <v>60</v>
      </c>
      <c r="AC70" s="16">
        <f>Table32[[#This Row],[Experimental_length9]]/Table32[[#This Row],[Predicted_length8]]</f>
        <v>1</v>
      </c>
      <c r="AD70" s="16">
        <v>0.91169</v>
      </c>
      <c r="AE70" s="16">
        <v>0.91169</v>
      </c>
      <c r="AF70" s="16">
        <v>1.27</v>
      </c>
      <c r="AG70" s="16">
        <v>60</v>
      </c>
      <c r="AH70" s="16">
        <v>1</v>
      </c>
      <c r="AI70" s="16">
        <v>60</v>
      </c>
      <c r="AJ70" s="16">
        <v>60</v>
      </c>
      <c r="AK70" s="17">
        <f>Table32[[#This Row],[Experimental_length8]]/Table32[[#This Row],[Predicted_length7]]</f>
        <v>1</v>
      </c>
    </row>
    <row r="71" spans="1:37" x14ac:dyDescent="0.2">
      <c r="A71" t="s">
        <v>340</v>
      </c>
      <c r="B71" t="s">
        <v>271</v>
      </c>
      <c r="C71">
        <v>1</v>
      </c>
      <c r="D71" t="s">
        <v>14</v>
      </c>
      <c r="E71" t="str">
        <f t="shared" si="2"/>
        <v>7ZK0.A</v>
      </c>
      <c r="F71" t="s">
        <v>269</v>
      </c>
      <c r="G71" t="s">
        <v>238</v>
      </c>
      <c r="H71">
        <v>1</v>
      </c>
      <c r="I71" t="s">
        <v>328</v>
      </c>
      <c r="J71">
        <v>0</v>
      </c>
      <c r="K71" t="s">
        <v>333</v>
      </c>
      <c r="L71" t="s">
        <v>379</v>
      </c>
      <c r="M71" t="s">
        <v>270</v>
      </c>
      <c r="N71" s="16">
        <v>0.61499999999999999</v>
      </c>
      <c r="O71" s="16">
        <v>0.61499999999999999</v>
      </c>
      <c r="P71" s="16">
        <v>2.2200000000000002</v>
      </c>
      <c r="Q71" s="16">
        <v>67</v>
      </c>
      <c r="R71" s="16">
        <v>0.97</v>
      </c>
      <c r="S71" s="16">
        <v>89</v>
      </c>
      <c r="T71" s="16">
        <v>89</v>
      </c>
      <c r="U71" s="16">
        <f>Table32[[#This Row],[Experimental_length]]/Table32[[#This Row],[Predicted_length]]</f>
        <v>1</v>
      </c>
      <c r="V71" s="16">
        <v>0.78783999999999998</v>
      </c>
      <c r="W71" s="16">
        <v>0.78783999999999998</v>
      </c>
      <c r="X71" s="16">
        <v>1.59</v>
      </c>
      <c r="Y71" s="16">
        <v>79</v>
      </c>
      <c r="Z71" s="16">
        <v>1</v>
      </c>
      <c r="AA71" s="16">
        <v>89</v>
      </c>
      <c r="AB71" s="16">
        <v>89</v>
      </c>
      <c r="AC71" s="16">
        <f>Table32[[#This Row],[Experimental_length9]]/Table32[[#This Row],[Predicted_length8]]</f>
        <v>1</v>
      </c>
      <c r="AD71" s="16">
        <v>0.80730000000000002</v>
      </c>
      <c r="AE71" s="16">
        <v>0.80730000000000002</v>
      </c>
      <c r="AF71" s="16">
        <v>1.21</v>
      </c>
      <c r="AG71" s="16">
        <v>77</v>
      </c>
      <c r="AH71" s="16">
        <v>1</v>
      </c>
      <c r="AI71" s="16">
        <v>89</v>
      </c>
      <c r="AJ71" s="16">
        <v>89</v>
      </c>
      <c r="AK71" s="17">
        <f>Table32[[#This Row],[Experimental_length8]]/Table32[[#This Row],[Predicted_length7]]</f>
        <v>1</v>
      </c>
    </row>
    <row r="72" spans="1:37" x14ac:dyDescent="0.2">
      <c r="A72" t="s">
        <v>340</v>
      </c>
      <c r="B72" t="s">
        <v>272</v>
      </c>
      <c r="C72">
        <v>1</v>
      </c>
      <c r="D72" t="s">
        <v>14</v>
      </c>
      <c r="E72" t="str">
        <f t="shared" si="2"/>
        <v>7ZKD.A</v>
      </c>
      <c r="F72" t="s">
        <v>269</v>
      </c>
      <c r="G72" t="s">
        <v>238</v>
      </c>
      <c r="H72">
        <v>1</v>
      </c>
      <c r="I72" t="s">
        <v>328</v>
      </c>
      <c r="J72">
        <v>0</v>
      </c>
      <c r="K72" t="s">
        <v>333</v>
      </c>
      <c r="L72" t="s">
        <v>379</v>
      </c>
      <c r="M72" t="s">
        <v>270</v>
      </c>
      <c r="N72" s="16">
        <v>0.31375999999999998</v>
      </c>
      <c r="O72" s="16">
        <v>0.32385000000000003</v>
      </c>
      <c r="P72" s="16">
        <v>3.43</v>
      </c>
      <c r="Q72" s="16">
        <v>44</v>
      </c>
      <c r="R72" s="16">
        <v>0.61399999999999999</v>
      </c>
      <c r="S72" s="16">
        <v>95</v>
      </c>
      <c r="T72" s="16">
        <v>91</v>
      </c>
      <c r="U72" s="16">
        <f>Table32[[#This Row],[Experimental_length]]/Table32[[#This Row],[Predicted_length]]</f>
        <v>0.95789473684210524</v>
      </c>
      <c r="V72" s="16">
        <v>0.68037000000000003</v>
      </c>
      <c r="W72" s="16">
        <v>0.65578999999999998</v>
      </c>
      <c r="X72" s="16">
        <v>2.0699999999999998</v>
      </c>
      <c r="Y72" s="16">
        <v>74</v>
      </c>
      <c r="Z72" s="16">
        <v>0.94599999999999995</v>
      </c>
      <c r="AA72" s="16">
        <v>95</v>
      </c>
      <c r="AB72" s="16">
        <v>91</v>
      </c>
      <c r="AC72" s="16">
        <f>Table32[[#This Row],[Experimental_length9]]/Table32[[#This Row],[Predicted_length8]]</f>
        <v>0.95789473684210524</v>
      </c>
      <c r="AD72" s="16">
        <v>0.66210000000000002</v>
      </c>
      <c r="AE72" s="16">
        <v>0.68725999999999998</v>
      </c>
      <c r="AF72" s="16">
        <v>2.06</v>
      </c>
      <c r="AG72" s="16">
        <v>74</v>
      </c>
      <c r="AH72" s="16">
        <v>0.94599999999999995</v>
      </c>
      <c r="AI72" s="16">
        <v>95</v>
      </c>
      <c r="AJ72" s="16">
        <v>91</v>
      </c>
      <c r="AK72" s="17">
        <f>Table32[[#This Row],[Experimental_length8]]/Table32[[#This Row],[Predicted_length7]]</f>
        <v>0.95789473684210524</v>
      </c>
    </row>
    <row r="73" spans="1:37" x14ac:dyDescent="0.2">
      <c r="A73" t="s">
        <v>331</v>
      </c>
      <c r="B73" t="s">
        <v>273</v>
      </c>
      <c r="C73">
        <v>1</v>
      </c>
      <c r="D73" t="s">
        <v>82</v>
      </c>
      <c r="E73" t="str">
        <f t="shared" si="2"/>
        <v>8ACX.A</v>
      </c>
      <c r="F73" t="s">
        <v>274</v>
      </c>
      <c r="G73" t="s">
        <v>275</v>
      </c>
      <c r="H73">
        <v>1</v>
      </c>
      <c r="I73" t="s">
        <v>332</v>
      </c>
      <c r="J73">
        <v>1.9</v>
      </c>
      <c r="K73" t="s">
        <v>333</v>
      </c>
      <c r="L73" t="s">
        <v>378</v>
      </c>
      <c r="M73" t="s">
        <v>276</v>
      </c>
      <c r="N73" s="16">
        <v>0.74278999999999995</v>
      </c>
      <c r="O73" s="16">
        <v>0.94623000000000002</v>
      </c>
      <c r="P73" s="16">
        <v>1.39</v>
      </c>
      <c r="Q73" s="16">
        <v>112</v>
      </c>
      <c r="R73" s="16">
        <v>0.85699999999999998</v>
      </c>
      <c r="S73" s="16">
        <v>144</v>
      </c>
      <c r="T73" s="16">
        <v>112</v>
      </c>
      <c r="U73" s="16">
        <f>Table32[[#This Row],[Experimental_length]]/Table32[[#This Row],[Predicted_length]]</f>
        <v>0.77777777777777779</v>
      </c>
      <c r="V73" s="16">
        <v>0.94513000000000003</v>
      </c>
      <c r="W73" s="16">
        <v>0.74214000000000002</v>
      </c>
      <c r="X73" s="16">
        <v>1.36</v>
      </c>
      <c r="Y73" s="16">
        <v>112</v>
      </c>
      <c r="Z73" s="16">
        <v>0.92</v>
      </c>
      <c r="AA73" s="16">
        <v>144</v>
      </c>
      <c r="AB73" s="16">
        <v>112</v>
      </c>
      <c r="AC73" s="16">
        <f>Table32[[#This Row],[Experimental_length9]]/Table32[[#This Row],[Predicted_length8]]</f>
        <v>0.77777777777777779</v>
      </c>
      <c r="AD73" s="16">
        <v>0.73029999999999995</v>
      </c>
      <c r="AE73" s="16">
        <v>0.92734000000000005</v>
      </c>
      <c r="AF73" s="16">
        <v>1.53</v>
      </c>
      <c r="AG73" s="16">
        <v>112</v>
      </c>
      <c r="AH73" s="16">
        <v>0.86599999999999999</v>
      </c>
      <c r="AI73" s="16">
        <v>144</v>
      </c>
      <c r="AJ73" s="16">
        <v>112</v>
      </c>
      <c r="AK73" s="17">
        <f>Table32[[#This Row],[Experimental_length8]]/Table32[[#This Row],[Predicted_length7]]</f>
        <v>0.77777777777777779</v>
      </c>
    </row>
    <row r="74" spans="1:37" x14ac:dyDescent="0.2">
      <c r="A74" t="s">
        <v>340</v>
      </c>
      <c r="B74" t="s">
        <v>277</v>
      </c>
      <c r="C74">
        <v>1</v>
      </c>
      <c r="D74" t="s">
        <v>14</v>
      </c>
      <c r="E74" t="str">
        <f t="shared" si="2"/>
        <v>8C8A.A</v>
      </c>
      <c r="F74" t="s">
        <v>278</v>
      </c>
      <c r="G74" t="s">
        <v>279</v>
      </c>
      <c r="H74">
        <v>1</v>
      </c>
      <c r="I74" t="s">
        <v>328</v>
      </c>
      <c r="J74">
        <v>0</v>
      </c>
      <c r="K74" t="s">
        <v>333</v>
      </c>
      <c r="L74" t="s">
        <v>379</v>
      </c>
      <c r="M74" t="s">
        <v>280</v>
      </c>
      <c r="N74" s="16">
        <v>0.42716999999999999</v>
      </c>
      <c r="O74" s="16">
        <v>0.66642999999999997</v>
      </c>
      <c r="P74" s="16">
        <v>2.83</v>
      </c>
      <c r="Q74" s="16">
        <v>83</v>
      </c>
      <c r="R74" s="16">
        <v>0.81899999999999995</v>
      </c>
      <c r="S74" s="16">
        <v>155</v>
      </c>
      <c r="T74" s="16">
        <v>89</v>
      </c>
      <c r="U74" s="16">
        <f>Table32[[#This Row],[Experimental_length]]/Table32[[#This Row],[Predicted_length]]</f>
        <v>0.5741935483870968</v>
      </c>
      <c r="V74" s="16">
        <v>0.58237000000000005</v>
      </c>
      <c r="W74" s="16">
        <v>0.37636999999999998</v>
      </c>
      <c r="X74" s="16">
        <v>2.87</v>
      </c>
      <c r="Y74" s="16">
        <v>74</v>
      </c>
      <c r="Z74" s="16">
        <v>0.85099999999999998</v>
      </c>
      <c r="AA74" s="16">
        <v>155</v>
      </c>
      <c r="AB74" s="16">
        <v>89</v>
      </c>
      <c r="AC74" s="16">
        <f>Table32[[#This Row],[Experimental_length9]]/Table32[[#This Row],[Predicted_length8]]</f>
        <v>0.5741935483870968</v>
      </c>
      <c r="AD74" s="16">
        <v>0.42734</v>
      </c>
      <c r="AE74" s="16">
        <v>0.70189000000000001</v>
      </c>
      <c r="AF74" s="16">
        <v>2.02</v>
      </c>
      <c r="AG74" s="16">
        <v>74</v>
      </c>
      <c r="AH74" s="16">
        <v>1</v>
      </c>
      <c r="AI74" s="16">
        <v>155</v>
      </c>
      <c r="AJ74" s="16">
        <v>89</v>
      </c>
      <c r="AK74" s="17">
        <f>Table32[[#This Row],[Experimental_length8]]/Table32[[#This Row],[Predicted_length7]]</f>
        <v>0.5741935483870968</v>
      </c>
    </row>
    <row r="75" spans="1:37" x14ac:dyDescent="0.2">
      <c r="A75" t="s">
        <v>399</v>
      </c>
      <c r="B75" t="s">
        <v>281</v>
      </c>
      <c r="C75">
        <v>1</v>
      </c>
      <c r="D75" t="s">
        <v>35</v>
      </c>
      <c r="E75" t="str">
        <f t="shared" si="2"/>
        <v>8DP8.A</v>
      </c>
      <c r="F75" t="s">
        <v>282</v>
      </c>
      <c r="G75" t="s">
        <v>59</v>
      </c>
      <c r="H75">
        <v>1</v>
      </c>
      <c r="I75" t="s">
        <v>332</v>
      </c>
      <c r="J75">
        <v>2.2999999999999998</v>
      </c>
      <c r="K75" t="s">
        <v>333</v>
      </c>
      <c r="L75" t="s">
        <v>400</v>
      </c>
      <c r="M75" t="s">
        <v>283</v>
      </c>
      <c r="N75" s="16">
        <v>0.85694999999999999</v>
      </c>
      <c r="O75" s="16">
        <v>0.90388000000000002</v>
      </c>
      <c r="P75" s="16">
        <v>1.6</v>
      </c>
      <c r="Q75" s="16">
        <v>135</v>
      </c>
      <c r="R75" s="16">
        <v>0.92600000000000005</v>
      </c>
      <c r="S75" s="16">
        <v>148</v>
      </c>
      <c r="T75" s="16">
        <v>140</v>
      </c>
      <c r="U75" s="16">
        <f>Table32[[#This Row],[Experimental_length]]/Table32[[#This Row],[Predicted_length]]</f>
        <v>0.94594594594594594</v>
      </c>
      <c r="V75" s="16"/>
      <c r="W75" s="16"/>
      <c r="X75" s="16"/>
      <c r="Y75" s="16"/>
      <c r="Z75" s="16"/>
      <c r="AA75" s="16"/>
      <c r="AB75" s="16"/>
      <c r="AC75" s="16" t="e">
        <f>Table32[[#This Row],[Experimental_length9]]/Table32[[#This Row],[Predicted_length8]]</f>
        <v>#DIV/0!</v>
      </c>
      <c r="AD75" s="16">
        <v>0.88478999999999997</v>
      </c>
      <c r="AE75" s="16">
        <v>0.93327000000000004</v>
      </c>
      <c r="AF75" s="16">
        <v>1.32</v>
      </c>
      <c r="AG75" s="16">
        <v>138</v>
      </c>
      <c r="AH75" s="16">
        <v>0.94199999999999995</v>
      </c>
      <c r="AI75" s="16">
        <v>148</v>
      </c>
      <c r="AJ75" s="16">
        <v>140</v>
      </c>
      <c r="AK75" s="17">
        <f>Table32[[#This Row],[Experimental_length8]]/Table32[[#This Row],[Predicted_length7]]</f>
        <v>0.94594594594594594</v>
      </c>
    </row>
    <row r="76" spans="1:37" x14ac:dyDescent="0.2">
      <c r="A76" t="s">
        <v>399</v>
      </c>
      <c r="B76" t="s">
        <v>284</v>
      </c>
      <c r="C76">
        <v>1</v>
      </c>
      <c r="D76" t="s">
        <v>26</v>
      </c>
      <c r="E76" t="str">
        <f t="shared" si="2"/>
        <v>8DP9.A</v>
      </c>
      <c r="F76" t="s">
        <v>285</v>
      </c>
      <c r="G76" t="s">
        <v>59</v>
      </c>
      <c r="H76">
        <v>1</v>
      </c>
      <c r="I76" t="s">
        <v>332</v>
      </c>
      <c r="J76">
        <v>1.76</v>
      </c>
      <c r="K76" t="s">
        <v>333</v>
      </c>
      <c r="L76" t="s">
        <v>400</v>
      </c>
      <c r="M76" t="s">
        <v>283</v>
      </c>
      <c r="N76" s="16">
        <v>0.83274000000000004</v>
      </c>
      <c r="O76" s="16">
        <v>0.92283999999999999</v>
      </c>
      <c r="P76" s="16">
        <v>1.34</v>
      </c>
      <c r="Q76" s="16">
        <v>130</v>
      </c>
      <c r="R76" s="16">
        <v>0.91500000000000004</v>
      </c>
      <c r="S76" s="16">
        <v>148</v>
      </c>
      <c r="T76" s="16">
        <v>133</v>
      </c>
      <c r="U76" s="16">
        <f>Table32[[#This Row],[Experimental_length]]/Table32[[#This Row],[Predicted_length]]</f>
        <v>0.89864864864864868</v>
      </c>
      <c r="V76" s="16"/>
      <c r="W76" s="16"/>
      <c r="X76" s="16"/>
      <c r="Y76" s="16"/>
      <c r="Z76" s="16"/>
      <c r="AA76" s="16"/>
      <c r="AB76" s="16"/>
      <c r="AC76" s="16" t="e">
        <f>Table32[[#This Row],[Experimental_length9]]/Table32[[#This Row],[Predicted_length8]]</f>
        <v>#DIV/0!</v>
      </c>
      <c r="AD76" s="16">
        <v>0.84792999999999996</v>
      </c>
      <c r="AE76" s="16">
        <v>0.94021999999999994</v>
      </c>
      <c r="AF76" s="16">
        <v>1.1599999999999999</v>
      </c>
      <c r="AG76" s="16">
        <v>131</v>
      </c>
      <c r="AH76" s="16">
        <v>0.95399999999999996</v>
      </c>
      <c r="AI76" s="16">
        <v>148</v>
      </c>
      <c r="AJ76" s="16">
        <v>133</v>
      </c>
      <c r="AK76" s="17">
        <f>Table32[[#This Row],[Experimental_length8]]/Table32[[#This Row],[Predicted_length7]]</f>
        <v>0.89864864864864868</v>
      </c>
    </row>
    <row r="77" spans="1:37" x14ac:dyDescent="0.2">
      <c r="A77" t="s">
        <v>335</v>
      </c>
      <c r="B77" t="s">
        <v>286</v>
      </c>
      <c r="C77">
        <v>1</v>
      </c>
      <c r="D77" t="s">
        <v>14</v>
      </c>
      <c r="E77" t="str">
        <f t="shared" si="2"/>
        <v>8EB9.A</v>
      </c>
      <c r="F77" t="s">
        <v>287</v>
      </c>
      <c r="G77" t="s">
        <v>241</v>
      </c>
      <c r="H77">
        <v>1</v>
      </c>
      <c r="I77" t="s">
        <v>332</v>
      </c>
      <c r="J77">
        <v>1.28</v>
      </c>
      <c r="K77" t="s">
        <v>365</v>
      </c>
      <c r="L77" t="s">
        <v>365</v>
      </c>
      <c r="M77" t="s">
        <v>288</v>
      </c>
      <c r="N77" s="16">
        <v>0.26844000000000001</v>
      </c>
      <c r="O77" s="16">
        <v>0.27837000000000001</v>
      </c>
      <c r="P77" s="16">
        <v>4.3899999999999997</v>
      </c>
      <c r="Q77" s="16">
        <v>48</v>
      </c>
      <c r="R77" s="16">
        <v>0.104</v>
      </c>
      <c r="S77" s="16">
        <v>95</v>
      </c>
      <c r="T77" s="16">
        <v>89</v>
      </c>
      <c r="U77" s="16">
        <f>Table32[[#This Row],[Experimental_length]]/Table32[[#This Row],[Predicted_length]]</f>
        <v>0.93684210526315792</v>
      </c>
      <c r="V77" s="16">
        <v>0.79247999999999996</v>
      </c>
      <c r="W77" s="16">
        <v>0.74892000000000003</v>
      </c>
      <c r="X77" s="16">
        <v>1.99</v>
      </c>
      <c r="Y77" s="16">
        <v>84</v>
      </c>
      <c r="Z77" s="16">
        <v>0.83299999999999996</v>
      </c>
      <c r="AA77" s="16">
        <v>95</v>
      </c>
      <c r="AB77" s="16">
        <v>89</v>
      </c>
      <c r="AC77" s="16">
        <f>Table32[[#This Row],[Experimental_length9]]/Table32[[#This Row],[Predicted_length8]]</f>
        <v>0.93684210526315792</v>
      </c>
      <c r="AD77" s="16">
        <v>0.35630000000000001</v>
      </c>
      <c r="AE77" s="16">
        <v>0.37175999999999998</v>
      </c>
      <c r="AF77" s="16">
        <v>3.94</v>
      </c>
      <c r="AG77" s="16">
        <v>58</v>
      </c>
      <c r="AH77" s="16">
        <v>0.13800000000000001</v>
      </c>
      <c r="AI77" s="16">
        <v>95</v>
      </c>
      <c r="AJ77" s="16">
        <v>89</v>
      </c>
      <c r="AK77" s="17">
        <f>Table32[[#This Row],[Experimental_length8]]/Table32[[#This Row],[Predicted_length7]]</f>
        <v>0.93684210526315792</v>
      </c>
    </row>
    <row r="78" spans="1:37" x14ac:dyDescent="0.2">
      <c r="A78" t="s">
        <v>393</v>
      </c>
      <c r="B78" t="s">
        <v>289</v>
      </c>
      <c r="C78">
        <v>2</v>
      </c>
      <c r="D78" t="s">
        <v>26</v>
      </c>
      <c r="E78" t="str">
        <f t="shared" si="2"/>
        <v>8EBB.A</v>
      </c>
      <c r="F78" t="s">
        <v>290</v>
      </c>
      <c r="G78" t="s">
        <v>241</v>
      </c>
      <c r="H78">
        <v>1</v>
      </c>
      <c r="I78" t="s">
        <v>332</v>
      </c>
      <c r="J78">
        <v>1.88</v>
      </c>
      <c r="K78" t="s">
        <v>365</v>
      </c>
      <c r="L78" t="s">
        <v>365</v>
      </c>
      <c r="M78" t="s">
        <v>288</v>
      </c>
      <c r="N78" s="16">
        <v>0.37218000000000001</v>
      </c>
      <c r="O78" s="16">
        <v>0.37369000000000002</v>
      </c>
      <c r="P78" s="16">
        <v>5.3</v>
      </c>
      <c r="Q78" s="16">
        <v>109</v>
      </c>
      <c r="R78" s="16">
        <v>0.67900000000000005</v>
      </c>
      <c r="S78" s="16">
        <v>170</v>
      </c>
      <c r="T78" s="16">
        <v>169</v>
      </c>
      <c r="U78" s="16">
        <f>Table32[[#This Row],[Experimental_length]]/Table32[[#This Row],[Predicted_length]]</f>
        <v>0.99411764705882355</v>
      </c>
      <c r="V78" s="16">
        <v>0.98340000000000005</v>
      </c>
      <c r="W78" s="16">
        <v>0.97770000000000001</v>
      </c>
      <c r="X78" s="16">
        <v>0.65</v>
      </c>
      <c r="Y78" s="16">
        <v>169</v>
      </c>
      <c r="Z78" s="16">
        <v>1</v>
      </c>
      <c r="AA78" s="16">
        <v>170</v>
      </c>
      <c r="AB78" s="16">
        <v>169</v>
      </c>
      <c r="AC78" s="16">
        <f>Table32[[#This Row],[Experimental_length9]]/Table32[[#This Row],[Predicted_length8]]</f>
        <v>0.99411764705882355</v>
      </c>
      <c r="AD78" s="16">
        <v>0.98358999999999996</v>
      </c>
      <c r="AE78" s="16">
        <v>0.98934999999999995</v>
      </c>
      <c r="AF78" s="16">
        <v>0.51</v>
      </c>
      <c r="AG78" s="16">
        <v>169</v>
      </c>
      <c r="AH78" s="16">
        <v>1</v>
      </c>
      <c r="AI78" s="16">
        <v>170</v>
      </c>
      <c r="AJ78" s="16">
        <v>169</v>
      </c>
      <c r="AK78" s="17">
        <f>Table32[[#This Row],[Experimental_length8]]/Table32[[#This Row],[Predicted_length7]]</f>
        <v>0.99411764705882355</v>
      </c>
    </row>
    <row r="79" spans="1:37" x14ac:dyDescent="0.2">
      <c r="A79" t="s">
        <v>372</v>
      </c>
      <c r="B79" t="s">
        <v>292</v>
      </c>
      <c r="C79">
        <v>1</v>
      </c>
      <c r="D79" t="s">
        <v>26</v>
      </c>
      <c r="E79" t="str">
        <f t="shared" si="2"/>
        <v>8OXH.A</v>
      </c>
      <c r="F79" t="s">
        <v>293</v>
      </c>
      <c r="G79" t="s">
        <v>294</v>
      </c>
      <c r="H79">
        <v>1</v>
      </c>
      <c r="I79" t="s">
        <v>332</v>
      </c>
      <c r="J79">
        <v>2.5</v>
      </c>
      <c r="K79" t="s">
        <v>333</v>
      </c>
      <c r="L79" t="s">
        <v>401</v>
      </c>
      <c r="M79" t="s">
        <v>295</v>
      </c>
      <c r="N79" s="16">
        <v>0.34482000000000002</v>
      </c>
      <c r="O79" s="16">
        <v>0.34482000000000002</v>
      </c>
      <c r="P79" s="16">
        <v>4.1500000000000004</v>
      </c>
      <c r="Q79" s="16">
        <v>56</v>
      </c>
      <c r="R79" s="16">
        <v>3.5999999999999997E-2</v>
      </c>
      <c r="S79" s="16">
        <v>93</v>
      </c>
      <c r="T79" s="16">
        <v>93</v>
      </c>
      <c r="U79" s="16">
        <f>Table32[[#This Row],[Experimental_length]]/Table32[[#This Row],[Predicted_length]]</f>
        <v>1</v>
      </c>
      <c r="V79" s="16">
        <v>0.89117999999999997</v>
      </c>
      <c r="W79" s="16">
        <v>0.89117999999999997</v>
      </c>
      <c r="X79" s="16">
        <v>1.44</v>
      </c>
      <c r="Y79" s="16">
        <v>93</v>
      </c>
      <c r="Z79" s="16">
        <v>1</v>
      </c>
      <c r="AA79" s="16">
        <v>93</v>
      </c>
      <c r="AB79" s="16">
        <v>93</v>
      </c>
      <c r="AC79" s="16">
        <f>Table32[[#This Row],[Experimental_length9]]/Table32[[#This Row],[Predicted_length8]]</f>
        <v>1</v>
      </c>
      <c r="AD79" s="16">
        <v>0.90854999999999997</v>
      </c>
      <c r="AE79" s="16">
        <v>0.90854999999999997</v>
      </c>
      <c r="AF79" s="16">
        <v>1.67</v>
      </c>
      <c r="AG79" s="16">
        <v>93</v>
      </c>
      <c r="AH79" s="16">
        <v>1</v>
      </c>
      <c r="AI79" s="16">
        <v>93</v>
      </c>
      <c r="AJ79" s="16">
        <v>93</v>
      </c>
      <c r="AK79" s="17">
        <f>Table32[[#This Row],[Experimental_length8]]/Table32[[#This Row],[Predicted_length7]]</f>
        <v>1</v>
      </c>
    </row>
    <row r="80" spans="1:37" x14ac:dyDescent="0.2">
      <c r="A80" t="s">
        <v>372</v>
      </c>
      <c r="B80" t="s">
        <v>296</v>
      </c>
      <c r="C80">
        <v>1</v>
      </c>
      <c r="D80" t="s">
        <v>14</v>
      </c>
      <c r="E80" t="str">
        <f t="shared" si="2"/>
        <v>8OXI.A</v>
      </c>
      <c r="F80" t="s">
        <v>297</v>
      </c>
      <c r="G80" t="s">
        <v>298</v>
      </c>
      <c r="H80">
        <v>1</v>
      </c>
      <c r="I80" t="s">
        <v>332</v>
      </c>
      <c r="J80">
        <v>1.51</v>
      </c>
      <c r="K80" t="s">
        <v>333</v>
      </c>
      <c r="L80" t="s">
        <v>401</v>
      </c>
      <c r="M80" t="s">
        <v>295</v>
      </c>
      <c r="N80" s="16">
        <v>0.82735000000000003</v>
      </c>
      <c r="O80" s="16">
        <v>0.90222000000000002</v>
      </c>
      <c r="P80" s="16">
        <v>1.4</v>
      </c>
      <c r="Q80" s="16">
        <v>91</v>
      </c>
      <c r="R80" s="16">
        <v>1</v>
      </c>
      <c r="S80" s="16">
        <v>104</v>
      </c>
      <c r="T80" s="16">
        <v>95</v>
      </c>
      <c r="U80" s="16">
        <f>Table32[[#This Row],[Experimental_length]]/Table32[[#This Row],[Predicted_length]]</f>
        <v>0.91346153846153844</v>
      </c>
      <c r="V80" s="16">
        <v>0.94277</v>
      </c>
      <c r="W80" s="16">
        <v>0.86389000000000005</v>
      </c>
      <c r="X80" s="16">
        <v>1.1499999999999999</v>
      </c>
      <c r="Y80" s="16">
        <v>94</v>
      </c>
      <c r="Z80" s="16">
        <v>0.98899999999999999</v>
      </c>
      <c r="AA80" s="16">
        <v>104</v>
      </c>
      <c r="AB80" s="16">
        <v>95</v>
      </c>
      <c r="AC80" s="16">
        <f>Table32[[#This Row],[Experimental_length9]]/Table32[[#This Row],[Predicted_length8]]</f>
        <v>0.91346153846153844</v>
      </c>
      <c r="AD80" s="16">
        <v>0.84353</v>
      </c>
      <c r="AE80" s="16">
        <v>0.92079</v>
      </c>
      <c r="AF80" s="16">
        <v>0.95</v>
      </c>
      <c r="AG80" s="16">
        <v>91</v>
      </c>
      <c r="AH80" s="16">
        <v>0.98899999999999999</v>
      </c>
      <c r="AI80" s="16">
        <v>104</v>
      </c>
      <c r="AJ80" s="16">
        <v>95</v>
      </c>
      <c r="AK80" s="17">
        <f>Table32[[#This Row],[Experimental_length8]]/Table32[[#This Row],[Predicted_length7]]</f>
        <v>0.91346153846153844</v>
      </c>
    </row>
    <row r="81" spans="1:37" x14ac:dyDescent="0.2">
      <c r="A81" t="s">
        <v>372</v>
      </c>
      <c r="B81" t="s">
        <v>299</v>
      </c>
      <c r="C81">
        <v>1</v>
      </c>
      <c r="D81" t="s">
        <v>26</v>
      </c>
      <c r="E81" t="str">
        <f t="shared" ref="E81:E87" si="3">LEFT(B81,4)&amp;"."&amp;LEFT(D81,1)</f>
        <v>8OXJ.A</v>
      </c>
      <c r="F81" t="s">
        <v>300</v>
      </c>
      <c r="G81" t="s">
        <v>294</v>
      </c>
      <c r="H81">
        <v>1</v>
      </c>
      <c r="I81" t="s">
        <v>332</v>
      </c>
      <c r="J81">
        <v>1.64</v>
      </c>
      <c r="K81" t="s">
        <v>333</v>
      </c>
      <c r="L81" t="s">
        <v>401</v>
      </c>
      <c r="M81" t="s">
        <v>295</v>
      </c>
      <c r="N81" s="16">
        <v>0.66251000000000004</v>
      </c>
      <c r="O81" s="16">
        <v>0.69735000000000003</v>
      </c>
      <c r="P81" s="16">
        <v>2.87</v>
      </c>
      <c r="Q81" s="16">
        <v>85</v>
      </c>
      <c r="R81" s="16">
        <v>0.72899999999999998</v>
      </c>
      <c r="S81" s="16">
        <v>98</v>
      </c>
      <c r="T81" s="16">
        <v>92</v>
      </c>
      <c r="U81" s="16">
        <f>Table32[[#This Row],[Experimental_length]]/Table32[[#This Row],[Predicted_length]]</f>
        <v>0.93877551020408168</v>
      </c>
      <c r="V81" s="16">
        <v>0.58387</v>
      </c>
      <c r="W81" s="16">
        <v>0.55489999999999995</v>
      </c>
      <c r="X81" s="16">
        <v>2.77</v>
      </c>
      <c r="Y81" s="16">
        <v>71</v>
      </c>
      <c r="Z81" s="16">
        <v>0.67600000000000005</v>
      </c>
      <c r="AA81" s="16">
        <v>98</v>
      </c>
      <c r="AB81" s="16">
        <v>92</v>
      </c>
      <c r="AC81" s="16">
        <f>Table32[[#This Row],[Experimental_length9]]/Table32[[#This Row],[Predicted_length8]]</f>
        <v>0.93877551020408168</v>
      </c>
      <c r="AD81" s="16">
        <v>0.39112000000000002</v>
      </c>
      <c r="AE81" s="16">
        <v>0.41082999999999997</v>
      </c>
      <c r="AF81" s="16">
        <v>3.39</v>
      </c>
      <c r="AG81" s="16">
        <v>54</v>
      </c>
      <c r="AH81" s="16">
        <v>0.72199999999999998</v>
      </c>
      <c r="AI81" s="16">
        <v>98</v>
      </c>
      <c r="AJ81" s="16">
        <v>92</v>
      </c>
      <c r="AK81" s="17">
        <f>Table32[[#This Row],[Experimental_length8]]/Table32[[#This Row],[Predicted_length7]]</f>
        <v>0.93877551020408168</v>
      </c>
    </row>
    <row r="82" spans="1:37" x14ac:dyDescent="0.2">
      <c r="A82" t="s">
        <v>372</v>
      </c>
      <c r="B82" t="s">
        <v>301</v>
      </c>
      <c r="C82">
        <v>1</v>
      </c>
      <c r="D82" t="s">
        <v>14</v>
      </c>
      <c r="E82" t="str">
        <f t="shared" si="3"/>
        <v>8OXK.A</v>
      </c>
      <c r="F82" t="s">
        <v>302</v>
      </c>
      <c r="G82" t="s">
        <v>294</v>
      </c>
      <c r="H82">
        <v>1</v>
      </c>
      <c r="I82" t="s">
        <v>332</v>
      </c>
      <c r="J82">
        <v>1.37</v>
      </c>
      <c r="K82" t="s">
        <v>333</v>
      </c>
      <c r="L82" t="s">
        <v>401</v>
      </c>
      <c r="M82" t="s">
        <v>295</v>
      </c>
      <c r="N82" s="16">
        <v>0.71560999999999997</v>
      </c>
      <c r="O82" s="16">
        <v>0.74746999999999997</v>
      </c>
      <c r="P82" s="16">
        <v>2.33</v>
      </c>
      <c r="Q82" s="16">
        <v>87</v>
      </c>
      <c r="R82" s="16">
        <v>0.90800000000000003</v>
      </c>
      <c r="S82" s="16">
        <v>99</v>
      </c>
      <c r="T82" s="16">
        <v>94</v>
      </c>
      <c r="U82" s="16">
        <f>Table32[[#This Row],[Experimental_length]]/Table32[[#This Row],[Predicted_length]]</f>
        <v>0.9494949494949495</v>
      </c>
      <c r="V82" s="16">
        <v>0.62868999999999997</v>
      </c>
      <c r="W82" s="16">
        <v>0.60185</v>
      </c>
      <c r="X82" s="16">
        <v>2.14</v>
      </c>
      <c r="Y82" s="16">
        <v>72</v>
      </c>
      <c r="Z82" s="16">
        <v>0.75</v>
      </c>
      <c r="AA82" s="16">
        <v>99</v>
      </c>
      <c r="AB82" s="16">
        <v>94</v>
      </c>
      <c r="AC82" s="16">
        <f>Table32[[#This Row],[Experimental_length9]]/Table32[[#This Row],[Predicted_length8]]</f>
        <v>0.9494949494949495</v>
      </c>
      <c r="AD82" s="16">
        <v>0.31275999999999998</v>
      </c>
      <c r="AE82" s="16">
        <v>0.32583000000000001</v>
      </c>
      <c r="AF82" s="16">
        <v>3.27</v>
      </c>
      <c r="AG82" s="16">
        <v>43</v>
      </c>
      <c r="AH82" s="16">
        <v>0.58099999999999996</v>
      </c>
      <c r="AI82" s="16">
        <v>99</v>
      </c>
      <c r="AJ82" s="16">
        <v>94</v>
      </c>
      <c r="AK82" s="17">
        <f>Table32[[#This Row],[Experimental_length8]]/Table32[[#This Row],[Predicted_length7]]</f>
        <v>0.9494949494949495</v>
      </c>
    </row>
    <row r="83" spans="1:37" x14ac:dyDescent="0.2">
      <c r="A83" t="s">
        <v>372</v>
      </c>
      <c r="B83" t="s">
        <v>303</v>
      </c>
      <c r="C83">
        <v>1</v>
      </c>
      <c r="D83" t="s">
        <v>26</v>
      </c>
      <c r="E83" t="str">
        <f t="shared" si="3"/>
        <v>8OXL.A</v>
      </c>
      <c r="F83" t="s">
        <v>304</v>
      </c>
      <c r="G83" t="s">
        <v>305</v>
      </c>
      <c r="H83">
        <v>1</v>
      </c>
      <c r="I83" t="s">
        <v>332</v>
      </c>
      <c r="J83">
        <v>1.56</v>
      </c>
      <c r="K83" t="s">
        <v>333</v>
      </c>
      <c r="L83" t="s">
        <v>401</v>
      </c>
      <c r="M83" t="s">
        <v>295</v>
      </c>
      <c r="N83" s="16">
        <v>0.36121999999999999</v>
      </c>
      <c r="O83" s="16">
        <v>0.36121999999999999</v>
      </c>
      <c r="P83" s="16">
        <v>4.47</v>
      </c>
      <c r="Q83" s="16">
        <v>61</v>
      </c>
      <c r="R83" s="16">
        <v>0.23</v>
      </c>
      <c r="S83" s="16">
        <v>92</v>
      </c>
      <c r="T83" s="16">
        <v>92</v>
      </c>
      <c r="U83" s="16">
        <f>Table32[[#This Row],[Experimental_length]]/Table32[[#This Row],[Predicted_length]]</f>
        <v>1</v>
      </c>
      <c r="V83" s="16">
        <v>0.93394999999999995</v>
      </c>
      <c r="W83" s="16">
        <v>0.93394999999999995</v>
      </c>
      <c r="X83" s="16">
        <v>1.03</v>
      </c>
      <c r="Y83" s="16">
        <v>92</v>
      </c>
      <c r="Z83" s="16">
        <v>1</v>
      </c>
      <c r="AA83" s="16">
        <v>92</v>
      </c>
      <c r="AB83" s="16">
        <v>92</v>
      </c>
      <c r="AC83" s="16">
        <f>Table32[[#This Row],[Experimental_length9]]/Table32[[#This Row],[Predicted_length8]]</f>
        <v>1</v>
      </c>
      <c r="AD83" s="16">
        <v>0.91679999999999995</v>
      </c>
      <c r="AE83" s="16">
        <v>0.91679999999999995</v>
      </c>
      <c r="AF83" s="16">
        <v>1.86</v>
      </c>
      <c r="AG83" s="16">
        <v>92</v>
      </c>
      <c r="AH83" s="16">
        <v>1</v>
      </c>
      <c r="AI83" s="16">
        <v>92</v>
      </c>
      <c r="AJ83" s="16">
        <v>92</v>
      </c>
      <c r="AK83" s="17">
        <f>Table32[[#This Row],[Experimental_length8]]/Table32[[#This Row],[Predicted_length7]]</f>
        <v>1</v>
      </c>
    </row>
    <row r="84" spans="1:37" x14ac:dyDescent="0.2">
      <c r="A84" t="s">
        <v>340</v>
      </c>
      <c r="B84" t="s">
        <v>309</v>
      </c>
      <c r="C84">
        <v>2</v>
      </c>
      <c r="D84" t="s">
        <v>19</v>
      </c>
      <c r="E84" t="str">
        <f t="shared" si="3"/>
        <v>8R7A.B</v>
      </c>
      <c r="F84" t="s">
        <v>310</v>
      </c>
      <c r="G84" t="s">
        <v>238</v>
      </c>
      <c r="H84">
        <v>1</v>
      </c>
      <c r="I84" t="s">
        <v>332</v>
      </c>
      <c r="J84">
        <v>1.8</v>
      </c>
      <c r="K84" t="s">
        <v>333</v>
      </c>
      <c r="L84" t="s">
        <v>402</v>
      </c>
      <c r="M84" t="s">
        <v>308</v>
      </c>
      <c r="N84" s="16">
        <v>0.42888999999999999</v>
      </c>
      <c r="O84" s="16">
        <v>0.52705999999999997</v>
      </c>
      <c r="P84" s="16">
        <v>3.54</v>
      </c>
      <c r="Q84" s="16">
        <v>84</v>
      </c>
      <c r="R84" s="16">
        <v>0.69</v>
      </c>
      <c r="S84" s="16">
        <v>145</v>
      </c>
      <c r="T84" s="16">
        <v>112</v>
      </c>
      <c r="U84" s="16">
        <f>Table32[[#This Row],[Experimental_length]]/Table32[[#This Row],[Predicted_length]]</f>
        <v>0.77241379310344827</v>
      </c>
      <c r="V84" s="16">
        <v>0.66342000000000001</v>
      </c>
      <c r="W84" s="16">
        <v>0.52981999999999996</v>
      </c>
      <c r="X84" s="16">
        <v>2.96</v>
      </c>
      <c r="Y84" s="16">
        <v>93</v>
      </c>
      <c r="Z84" s="16">
        <v>0.84899999999999998</v>
      </c>
      <c r="AA84" s="16">
        <v>145</v>
      </c>
      <c r="AB84" s="16">
        <v>112</v>
      </c>
      <c r="AC84" s="16">
        <f>Table32[[#This Row],[Experimental_length9]]/Table32[[#This Row],[Predicted_length8]]</f>
        <v>0.77241379310344827</v>
      </c>
      <c r="AD84" s="16">
        <v>0.59228999999999998</v>
      </c>
      <c r="AE84" s="16">
        <v>0.75524999999999998</v>
      </c>
      <c r="AF84" s="16">
        <v>2.16</v>
      </c>
      <c r="AG84" s="16">
        <v>94</v>
      </c>
      <c r="AH84" s="16">
        <v>0.93600000000000005</v>
      </c>
      <c r="AI84" s="16">
        <v>145</v>
      </c>
      <c r="AJ84" s="16">
        <v>112</v>
      </c>
      <c r="AK84" s="17">
        <f>Table32[[#This Row],[Experimental_length8]]/Table32[[#This Row],[Predicted_length7]]</f>
        <v>0.77241379310344827</v>
      </c>
    </row>
    <row r="85" spans="1:37" x14ac:dyDescent="0.2">
      <c r="A85" t="s">
        <v>327</v>
      </c>
      <c r="B85" t="s">
        <v>311</v>
      </c>
      <c r="C85">
        <v>1</v>
      </c>
      <c r="D85" t="s">
        <v>26</v>
      </c>
      <c r="E85" t="str">
        <f t="shared" si="3"/>
        <v>8V1J.A</v>
      </c>
      <c r="F85" t="s">
        <v>312</v>
      </c>
      <c r="G85" t="s">
        <v>217</v>
      </c>
      <c r="H85">
        <v>1</v>
      </c>
      <c r="I85" t="s">
        <v>332</v>
      </c>
      <c r="J85">
        <v>2.42</v>
      </c>
      <c r="K85" t="s">
        <v>333</v>
      </c>
      <c r="L85" t="s">
        <v>403</v>
      </c>
      <c r="M85" t="s">
        <v>313</v>
      </c>
      <c r="N85" s="16">
        <v>0.34650999999999998</v>
      </c>
      <c r="O85" s="16">
        <v>0.35709000000000002</v>
      </c>
      <c r="P85" s="16">
        <v>4.53</v>
      </c>
      <c r="Q85" s="16">
        <v>68</v>
      </c>
      <c r="R85" s="16">
        <v>0.441</v>
      </c>
      <c r="S85" s="16">
        <v>120</v>
      </c>
      <c r="T85" s="16">
        <v>115</v>
      </c>
      <c r="U85" s="16">
        <f>Table32[[#This Row],[Experimental_length]]/Table32[[#This Row],[Predicted_length]]</f>
        <v>0.95833333333333337</v>
      </c>
      <c r="V85" s="16">
        <v>0.65810999999999997</v>
      </c>
      <c r="W85" s="16">
        <v>0.63702000000000003</v>
      </c>
      <c r="X85" s="16">
        <v>3.2</v>
      </c>
      <c r="Y85" s="16">
        <v>108</v>
      </c>
      <c r="Z85" s="16">
        <v>0.89800000000000002</v>
      </c>
      <c r="AA85" s="16">
        <v>120</v>
      </c>
      <c r="AB85" s="16">
        <v>115</v>
      </c>
      <c r="AC85" s="16">
        <f>Table32[[#This Row],[Experimental_length9]]/Table32[[#This Row],[Predicted_length8]]</f>
        <v>0.95833333333333337</v>
      </c>
      <c r="AD85" s="16">
        <v>0.65234999999999999</v>
      </c>
      <c r="AE85" s="16">
        <v>0.67356000000000005</v>
      </c>
      <c r="AF85" s="16">
        <v>2.97</v>
      </c>
      <c r="AG85" s="16">
        <v>108</v>
      </c>
      <c r="AH85" s="16">
        <v>0.78700000000000003</v>
      </c>
      <c r="AI85" s="16">
        <v>120</v>
      </c>
      <c r="AJ85" s="16">
        <v>115</v>
      </c>
      <c r="AK85" s="17">
        <f>Table32[[#This Row],[Experimental_length8]]/Table32[[#This Row],[Predicted_length7]]</f>
        <v>0.95833333333333337</v>
      </c>
    </row>
    <row r="86" spans="1:37" x14ac:dyDescent="0.2">
      <c r="A86" t="s">
        <v>404</v>
      </c>
      <c r="B86" t="s">
        <v>314</v>
      </c>
      <c r="C86">
        <v>1</v>
      </c>
      <c r="D86" t="s">
        <v>14</v>
      </c>
      <c r="E86" t="str">
        <f t="shared" si="3"/>
        <v>9FEI.A</v>
      </c>
      <c r="F86" t="s">
        <v>315</v>
      </c>
      <c r="G86" t="s">
        <v>16</v>
      </c>
      <c r="H86">
        <v>1</v>
      </c>
      <c r="I86" t="s">
        <v>332</v>
      </c>
      <c r="J86">
        <v>1.47</v>
      </c>
      <c r="K86" t="s">
        <v>405</v>
      </c>
      <c r="L86" t="s">
        <v>406</v>
      </c>
      <c r="M86" t="s">
        <v>316</v>
      </c>
      <c r="N86" s="16">
        <v>0.23483000000000001</v>
      </c>
      <c r="O86" s="16">
        <v>0.28069</v>
      </c>
      <c r="P86" s="16">
        <v>5.43</v>
      </c>
      <c r="Q86" s="16">
        <v>91</v>
      </c>
      <c r="R86" s="16">
        <v>5.5E-2</v>
      </c>
      <c r="S86" s="16">
        <v>239</v>
      </c>
      <c r="T86" s="16">
        <v>185</v>
      </c>
      <c r="U86" s="16">
        <f>Table32[[#This Row],[Experimental_length]]/Table32[[#This Row],[Predicted_length]]</f>
        <v>0.77405857740585771</v>
      </c>
      <c r="V86" s="16">
        <v>0.53358000000000005</v>
      </c>
      <c r="W86" s="16">
        <v>0.42877999999999999</v>
      </c>
      <c r="X86" s="16">
        <v>3.82</v>
      </c>
      <c r="Y86" s="16">
        <v>130</v>
      </c>
      <c r="Z86" s="16">
        <v>0.53800000000000003</v>
      </c>
      <c r="AA86" s="16">
        <v>239</v>
      </c>
      <c r="AB86" s="16">
        <v>185</v>
      </c>
      <c r="AC86" s="16">
        <f>Table32[[#This Row],[Experimental_length9]]/Table32[[#This Row],[Predicted_length8]]</f>
        <v>0.77405857740585771</v>
      </c>
      <c r="AD86" s="16">
        <v>0.4325</v>
      </c>
      <c r="AE86" s="16">
        <v>0.53554999999999997</v>
      </c>
      <c r="AF86" s="16">
        <v>4.34</v>
      </c>
      <c r="AG86" s="16">
        <v>137</v>
      </c>
      <c r="AH86" s="16">
        <v>0.73</v>
      </c>
      <c r="AI86" s="16">
        <v>239</v>
      </c>
      <c r="AJ86" s="16">
        <v>185</v>
      </c>
      <c r="AK86" s="17">
        <f>Table32[[#This Row],[Experimental_length8]]/Table32[[#This Row],[Predicted_length7]]</f>
        <v>0.77405857740585771</v>
      </c>
    </row>
    <row r="87" spans="1:37" x14ac:dyDescent="0.2">
      <c r="A87" t="s">
        <v>372</v>
      </c>
      <c r="B87" t="s">
        <v>321</v>
      </c>
      <c r="C87">
        <v>2</v>
      </c>
      <c r="D87" t="s">
        <v>19</v>
      </c>
      <c r="E87" t="str">
        <f t="shared" si="3"/>
        <v>9FYC.B</v>
      </c>
      <c r="F87" t="s">
        <v>322</v>
      </c>
      <c r="G87" t="s">
        <v>323</v>
      </c>
      <c r="H87">
        <v>1</v>
      </c>
      <c r="I87" t="s">
        <v>395</v>
      </c>
      <c r="J87">
        <v>3.8</v>
      </c>
      <c r="K87" t="s">
        <v>333</v>
      </c>
      <c r="L87" t="s">
        <v>407</v>
      </c>
      <c r="M87" t="s">
        <v>320</v>
      </c>
      <c r="N87" s="16">
        <v>0.50146999999999997</v>
      </c>
      <c r="O87" s="16">
        <v>0.58874000000000004</v>
      </c>
      <c r="P87" s="16">
        <v>3.27</v>
      </c>
      <c r="Q87" s="16">
        <v>86</v>
      </c>
      <c r="R87" s="16">
        <v>0.54700000000000004</v>
      </c>
      <c r="S87" s="16">
        <v>122</v>
      </c>
      <c r="T87" s="16">
        <v>98</v>
      </c>
      <c r="U87" s="16">
        <f>Table32[[#This Row],[Experimental_length]]/Table32[[#This Row],[Predicted_length]]</f>
        <v>0.80327868852459017</v>
      </c>
      <c r="V87" s="16">
        <v>0.91274</v>
      </c>
      <c r="W87" s="16">
        <v>0.74292000000000002</v>
      </c>
      <c r="X87" s="16">
        <v>1.1499999999999999</v>
      </c>
      <c r="Y87" s="16">
        <v>96</v>
      </c>
      <c r="Z87" s="16">
        <v>1</v>
      </c>
      <c r="AA87" s="16">
        <v>122</v>
      </c>
      <c r="AB87" s="16">
        <v>98</v>
      </c>
      <c r="AC87" s="16">
        <f>Table32[[#This Row],[Experimental_length9]]/Table32[[#This Row],[Predicted_length8]]</f>
        <v>0.80327868852459017</v>
      </c>
      <c r="AD87" s="16">
        <v>0.74682000000000004</v>
      </c>
      <c r="AE87" s="16">
        <v>0.91864999999999997</v>
      </c>
      <c r="AF87" s="16">
        <v>1.1100000000000001</v>
      </c>
      <c r="AG87" s="16">
        <v>96</v>
      </c>
      <c r="AH87" s="16">
        <v>1</v>
      </c>
      <c r="AI87" s="16">
        <v>122</v>
      </c>
      <c r="AJ87" s="16">
        <v>98</v>
      </c>
      <c r="AK87" s="17">
        <f>Table32[[#This Row],[Experimental_length8]]/Table32[[#This Row],[Predicted_length7]]</f>
        <v>0.80327868852459017</v>
      </c>
    </row>
  </sheetData>
  <mergeCells count="6">
    <mergeCell ref="A1:K2"/>
    <mergeCell ref="A3:K3"/>
    <mergeCell ref="A4:C4"/>
    <mergeCell ref="N5:U5"/>
    <mergeCell ref="V5:AC5"/>
    <mergeCell ref="AD5:AK5"/>
  </mergeCells>
  <phoneticPr fontId="5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A21F-02B7-F34B-A8B5-6BD784BA9414}">
  <dimension ref="A1:AA82"/>
  <sheetViews>
    <sheetView topLeftCell="G1" workbookViewId="0">
      <selection activeCell="G2" sqref="G2:AA82"/>
    </sheetView>
  </sheetViews>
  <sheetFormatPr baseColWidth="10" defaultRowHeight="16" x14ac:dyDescent="0.2"/>
  <sheetData>
    <row r="1" spans="1:27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480</v>
      </c>
      <c r="H1" t="s">
        <v>478</v>
      </c>
      <c r="I1" t="s">
        <v>481</v>
      </c>
      <c r="J1" t="s">
        <v>482</v>
      </c>
      <c r="K1" t="s">
        <v>483</v>
      </c>
      <c r="L1" t="s">
        <v>497</v>
      </c>
      <c r="M1" t="s">
        <v>484</v>
      </c>
      <c r="N1" t="s">
        <v>485</v>
      </c>
      <c r="O1" t="s">
        <v>486</v>
      </c>
      <c r="P1" t="s">
        <v>487</v>
      </c>
      <c r="Q1" t="s">
        <v>488</v>
      </c>
      <c r="R1" t="s">
        <v>489</v>
      </c>
      <c r="S1" t="s">
        <v>490</v>
      </c>
      <c r="T1" t="s">
        <v>491</v>
      </c>
      <c r="U1" t="s">
        <v>477</v>
      </c>
      <c r="V1" t="s">
        <v>498</v>
      </c>
      <c r="W1" t="s">
        <v>410</v>
      </c>
      <c r="X1" t="s">
        <v>411</v>
      </c>
      <c r="Y1" t="s">
        <v>412</v>
      </c>
      <c r="Z1" t="s">
        <v>499</v>
      </c>
      <c r="AA1" t="s">
        <v>414</v>
      </c>
    </row>
    <row r="2" spans="1:27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0.99131000000000002</v>
      </c>
      <c r="I2">
        <v>0.53</v>
      </c>
      <c r="J2">
        <v>224</v>
      </c>
      <c r="K2">
        <v>1</v>
      </c>
      <c r="L2">
        <v>224</v>
      </c>
      <c r="M2">
        <v>224</v>
      </c>
      <c r="N2">
        <v>0.99351</v>
      </c>
      <c r="O2">
        <v>0.99351</v>
      </c>
      <c r="P2">
        <v>0.45</v>
      </c>
      <c r="Q2">
        <v>224</v>
      </c>
      <c r="R2">
        <v>1</v>
      </c>
      <c r="S2">
        <v>224</v>
      </c>
      <c r="T2">
        <v>224</v>
      </c>
      <c r="U2">
        <v>0.99417999999999995</v>
      </c>
      <c r="V2">
        <v>0.99417999999999995</v>
      </c>
      <c r="W2">
        <v>0.43</v>
      </c>
      <c r="X2">
        <v>224</v>
      </c>
      <c r="Y2">
        <v>1</v>
      </c>
      <c r="Z2">
        <v>224</v>
      </c>
      <c r="AA2">
        <v>224</v>
      </c>
    </row>
    <row r="3" spans="1:27" x14ac:dyDescent="0.2">
      <c r="A3" t="s">
        <v>21</v>
      </c>
      <c r="B3" t="s">
        <v>14</v>
      </c>
      <c r="C3" t="s">
        <v>22</v>
      </c>
      <c r="D3" t="s">
        <v>23</v>
      </c>
      <c r="E3">
        <v>1</v>
      </c>
      <c r="F3" t="s">
        <v>416</v>
      </c>
      <c r="G3">
        <v>0.30002000000000001</v>
      </c>
      <c r="H3">
        <v>0.30002000000000001</v>
      </c>
      <c r="I3">
        <v>3.72</v>
      </c>
      <c r="J3">
        <v>36</v>
      </c>
      <c r="K3">
        <v>0.13900000000000001</v>
      </c>
      <c r="L3">
        <v>60</v>
      </c>
      <c r="M3">
        <v>60</v>
      </c>
      <c r="N3">
        <v>0.36764000000000002</v>
      </c>
      <c r="O3">
        <v>0.36764000000000002</v>
      </c>
      <c r="P3">
        <v>3.51</v>
      </c>
      <c r="Q3">
        <v>41</v>
      </c>
      <c r="R3">
        <v>0.24399999999999999</v>
      </c>
      <c r="S3">
        <v>60</v>
      </c>
      <c r="T3">
        <v>60</v>
      </c>
      <c r="U3">
        <v>0.39532</v>
      </c>
      <c r="V3">
        <v>0.39532</v>
      </c>
      <c r="W3">
        <v>2.4500000000000002</v>
      </c>
      <c r="X3">
        <v>35</v>
      </c>
      <c r="Y3">
        <v>0.45700000000000002</v>
      </c>
      <c r="Z3">
        <v>60</v>
      </c>
      <c r="AA3">
        <v>60</v>
      </c>
    </row>
    <row r="4" spans="1:27" x14ac:dyDescent="0.2">
      <c r="A4" t="s">
        <v>25</v>
      </c>
      <c r="B4" t="s">
        <v>26</v>
      </c>
      <c r="C4" t="s">
        <v>27</v>
      </c>
      <c r="D4" t="s">
        <v>28</v>
      </c>
      <c r="E4">
        <v>1</v>
      </c>
      <c r="F4" t="s">
        <v>417</v>
      </c>
      <c r="G4">
        <v>0.96011999999999997</v>
      </c>
      <c r="H4">
        <v>0.96011999999999997</v>
      </c>
      <c r="I4">
        <v>0.85</v>
      </c>
      <c r="J4">
        <v>105</v>
      </c>
      <c r="K4">
        <v>1</v>
      </c>
      <c r="L4">
        <v>105</v>
      </c>
      <c r="M4">
        <v>105</v>
      </c>
      <c r="N4">
        <v>0.97702</v>
      </c>
      <c r="O4">
        <v>0.97702</v>
      </c>
      <c r="P4">
        <v>0.64</v>
      </c>
      <c r="Q4">
        <v>105</v>
      </c>
      <c r="R4">
        <v>1</v>
      </c>
      <c r="S4">
        <v>105</v>
      </c>
      <c r="T4">
        <v>105</v>
      </c>
      <c r="U4">
        <v>0.98372999999999999</v>
      </c>
      <c r="V4">
        <v>0.98372999999999999</v>
      </c>
      <c r="W4">
        <v>0.53</v>
      </c>
      <c r="X4">
        <v>105</v>
      </c>
      <c r="Y4">
        <v>1</v>
      </c>
      <c r="Z4">
        <v>105</v>
      </c>
      <c r="AA4">
        <v>105</v>
      </c>
    </row>
    <row r="5" spans="1:27" x14ac:dyDescent="0.2">
      <c r="A5" t="s">
        <v>30</v>
      </c>
      <c r="B5" t="s">
        <v>14</v>
      </c>
      <c r="C5" t="s">
        <v>31</v>
      </c>
      <c r="D5" t="s">
        <v>32</v>
      </c>
      <c r="E5">
        <v>1</v>
      </c>
      <c r="F5" t="s">
        <v>418</v>
      </c>
      <c r="G5">
        <v>0.47665000000000002</v>
      </c>
      <c r="H5">
        <v>0.53198000000000001</v>
      </c>
      <c r="I5">
        <v>3.66</v>
      </c>
      <c r="J5">
        <v>81</v>
      </c>
      <c r="K5">
        <v>0.45700000000000002</v>
      </c>
      <c r="L5">
        <v>118</v>
      </c>
      <c r="M5">
        <v>102</v>
      </c>
      <c r="N5">
        <v>0.98619000000000001</v>
      </c>
      <c r="O5">
        <v>0.85414999999999996</v>
      </c>
      <c r="P5">
        <v>0.46</v>
      </c>
      <c r="Q5">
        <v>102</v>
      </c>
      <c r="R5">
        <v>0.99</v>
      </c>
      <c r="S5">
        <v>118</v>
      </c>
      <c r="T5">
        <v>102</v>
      </c>
      <c r="U5">
        <v>0.72131000000000001</v>
      </c>
      <c r="V5">
        <v>0.8226</v>
      </c>
      <c r="W5">
        <v>2.21</v>
      </c>
      <c r="X5">
        <v>98</v>
      </c>
      <c r="Y5">
        <v>0.94899999999999995</v>
      </c>
      <c r="Z5">
        <v>118</v>
      </c>
      <c r="AA5">
        <v>102</v>
      </c>
    </row>
    <row r="6" spans="1:27" x14ac:dyDescent="0.2">
      <c r="A6" t="s">
        <v>34</v>
      </c>
      <c r="B6" t="s">
        <v>35</v>
      </c>
      <c r="C6" t="s">
        <v>31</v>
      </c>
      <c r="D6" t="s">
        <v>32</v>
      </c>
      <c r="E6">
        <v>1</v>
      </c>
      <c r="F6" t="s">
        <v>418</v>
      </c>
      <c r="G6">
        <v>0.47804999999999997</v>
      </c>
      <c r="H6">
        <v>0.53400000000000003</v>
      </c>
      <c r="I6">
        <v>3.65</v>
      </c>
      <c r="J6">
        <v>81</v>
      </c>
      <c r="K6">
        <v>0.45700000000000002</v>
      </c>
      <c r="L6">
        <v>118</v>
      </c>
      <c r="M6">
        <v>102</v>
      </c>
      <c r="N6">
        <v>0.97591000000000006</v>
      </c>
      <c r="O6">
        <v>0.84504999999999997</v>
      </c>
      <c r="P6">
        <v>0.53</v>
      </c>
      <c r="Q6">
        <v>101</v>
      </c>
      <c r="R6">
        <v>1</v>
      </c>
      <c r="S6">
        <v>118</v>
      </c>
      <c r="T6">
        <v>102</v>
      </c>
      <c r="U6">
        <v>0.67095000000000005</v>
      </c>
      <c r="V6">
        <v>0.75919000000000003</v>
      </c>
      <c r="W6">
        <v>2.74</v>
      </c>
      <c r="X6">
        <v>99</v>
      </c>
      <c r="Y6">
        <v>0.81799999999999995</v>
      </c>
      <c r="Z6">
        <v>118</v>
      </c>
      <c r="AA6">
        <v>102</v>
      </c>
    </row>
    <row r="7" spans="1:27" x14ac:dyDescent="0.2">
      <c r="A7" t="s">
        <v>36</v>
      </c>
      <c r="B7" t="s">
        <v>14</v>
      </c>
      <c r="C7" t="s">
        <v>37</v>
      </c>
      <c r="D7" t="s">
        <v>38</v>
      </c>
      <c r="E7">
        <v>1</v>
      </c>
      <c r="F7" t="s">
        <v>419</v>
      </c>
      <c r="G7">
        <v>0.45683000000000001</v>
      </c>
      <c r="H7">
        <v>0.45683000000000001</v>
      </c>
      <c r="I7">
        <v>3.88</v>
      </c>
      <c r="J7">
        <v>63</v>
      </c>
      <c r="K7">
        <v>0.69799999999999995</v>
      </c>
      <c r="L7">
        <v>80</v>
      </c>
      <c r="M7">
        <v>80</v>
      </c>
      <c r="N7">
        <v>0.79278999999999999</v>
      </c>
      <c r="O7">
        <v>0.79278999999999999</v>
      </c>
      <c r="P7">
        <v>2.12</v>
      </c>
      <c r="Q7">
        <v>77</v>
      </c>
      <c r="R7">
        <v>0.97399999999999998</v>
      </c>
      <c r="S7">
        <v>80</v>
      </c>
      <c r="T7">
        <v>80</v>
      </c>
      <c r="U7">
        <v>0.73282000000000003</v>
      </c>
      <c r="V7">
        <v>0.73282000000000003</v>
      </c>
      <c r="W7">
        <v>2.12</v>
      </c>
      <c r="X7">
        <v>73</v>
      </c>
      <c r="Y7">
        <v>1</v>
      </c>
      <c r="Z7">
        <v>80</v>
      </c>
      <c r="AA7">
        <v>80</v>
      </c>
    </row>
    <row r="8" spans="1:27" x14ac:dyDescent="0.2">
      <c r="A8" t="s">
        <v>40</v>
      </c>
      <c r="B8" t="s">
        <v>14</v>
      </c>
      <c r="C8" t="s">
        <v>41</v>
      </c>
      <c r="D8" t="s">
        <v>32</v>
      </c>
      <c r="E8">
        <v>1</v>
      </c>
      <c r="F8" t="s">
        <v>420</v>
      </c>
      <c r="G8">
        <v>0.46666999999999997</v>
      </c>
      <c r="H8">
        <v>0.46666999999999997</v>
      </c>
      <c r="I8">
        <v>3.63</v>
      </c>
      <c r="J8">
        <v>60</v>
      </c>
      <c r="K8">
        <v>0.48299999999999998</v>
      </c>
      <c r="L8">
        <v>64</v>
      </c>
      <c r="M8">
        <v>64</v>
      </c>
      <c r="N8">
        <v>0.89905999999999997</v>
      </c>
      <c r="O8">
        <v>0.89905999999999997</v>
      </c>
      <c r="P8">
        <v>1.06</v>
      </c>
      <c r="Q8">
        <v>64</v>
      </c>
      <c r="R8">
        <v>1</v>
      </c>
      <c r="S8">
        <v>64</v>
      </c>
      <c r="T8">
        <v>64</v>
      </c>
      <c r="U8">
        <v>0.89834999999999998</v>
      </c>
      <c r="V8">
        <v>0.89834999999999998</v>
      </c>
      <c r="W8">
        <v>1.07</v>
      </c>
      <c r="X8">
        <v>64</v>
      </c>
      <c r="Y8">
        <v>1</v>
      </c>
      <c r="Z8">
        <v>64</v>
      </c>
      <c r="AA8">
        <v>64</v>
      </c>
    </row>
    <row r="9" spans="1:27" x14ac:dyDescent="0.2">
      <c r="A9" t="s">
        <v>43</v>
      </c>
      <c r="B9" t="s">
        <v>14</v>
      </c>
      <c r="C9" t="s">
        <v>44</v>
      </c>
      <c r="D9" t="s">
        <v>32</v>
      </c>
      <c r="E9">
        <v>1</v>
      </c>
      <c r="F9" t="s">
        <v>420</v>
      </c>
      <c r="G9">
        <v>0.48946000000000001</v>
      </c>
      <c r="H9">
        <v>0.48946000000000001</v>
      </c>
      <c r="I9">
        <v>2.6</v>
      </c>
      <c r="J9">
        <v>45</v>
      </c>
      <c r="K9">
        <v>0.88900000000000001</v>
      </c>
      <c r="L9">
        <v>65</v>
      </c>
      <c r="M9">
        <v>65</v>
      </c>
      <c r="N9">
        <v>0.89207999999999998</v>
      </c>
      <c r="O9">
        <v>0.89207999999999998</v>
      </c>
      <c r="P9">
        <v>1.22</v>
      </c>
      <c r="Q9">
        <v>65</v>
      </c>
      <c r="R9">
        <v>1</v>
      </c>
      <c r="S9">
        <v>65</v>
      </c>
      <c r="T9">
        <v>65</v>
      </c>
      <c r="U9">
        <v>0.90705999999999998</v>
      </c>
      <c r="V9">
        <v>0.90705999999999998</v>
      </c>
      <c r="W9">
        <v>1.2</v>
      </c>
      <c r="X9">
        <v>65</v>
      </c>
      <c r="Y9">
        <v>1</v>
      </c>
      <c r="Z9">
        <v>65</v>
      </c>
      <c r="AA9">
        <v>65</v>
      </c>
    </row>
    <row r="10" spans="1:27" x14ac:dyDescent="0.2">
      <c r="A10" t="s">
        <v>45</v>
      </c>
      <c r="B10" t="s">
        <v>14</v>
      </c>
      <c r="C10" t="s">
        <v>46</v>
      </c>
      <c r="D10" t="s">
        <v>47</v>
      </c>
      <c r="E10">
        <v>1</v>
      </c>
      <c r="F10" t="s">
        <v>421</v>
      </c>
      <c r="G10">
        <v>0.24790999999999999</v>
      </c>
      <c r="H10">
        <v>0.28294999999999998</v>
      </c>
      <c r="I10">
        <v>4.07</v>
      </c>
      <c r="J10">
        <v>43</v>
      </c>
      <c r="K10">
        <v>0.30199999999999999</v>
      </c>
      <c r="L10">
        <v>98</v>
      </c>
      <c r="M10">
        <v>79</v>
      </c>
      <c r="N10">
        <v>0.72843000000000002</v>
      </c>
      <c r="O10">
        <v>0.59770999999999996</v>
      </c>
      <c r="P10">
        <v>1.99</v>
      </c>
      <c r="Q10">
        <v>66</v>
      </c>
      <c r="R10">
        <v>0.92400000000000004</v>
      </c>
      <c r="S10">
        <v>98</v>
      </c>
      <c r="T10">
        <v>79</v>
      </c>
      <c r="U10">
        <v>0.58679000000000003</v>
      </c>
      <c r="V10">
        <v>0.71862000000000004</v>
      </c>
      <c r="W10">
        <v>2.2599999999999998</v>
      </c>
      <c r="X10">
        <v>64</v>
      </c>
      <c r="Y10">
        <v>0.93799999999999994</v>
      </c>
      <c r="Z10">
        <v>98</v>
      </c>
      <c r="AA10">
        <v>79</v>
      </c>
    </row>
    <row r="11" spans="1:27" x14ac:dyDescent="0.2">
      <c r="A11" t="s">
        <v>49</v>
      </c>
      <c r="B11" t="s">
        <v>14</v>
      </c>
      <c r="C11" t="s">
        <v>50</v>
      </c>
      <c r="D11" t="s">
        <v>38</v>
      </c>
      <c r="E11">
        <v>1</v>
      </c>
      <c r="F11" t="s">
        <v>421</v>
      </c>
      <c r="G11">
        <v>0.47844999999999999</v>
      </c>
      <c r="H11">
        <v>0.55854999999999999</v>
      </c>
      <c r="I11">
        <v>2.74</v>
      </c>
      <c r="J11">
        <v>62</v>
      </c>
      <c r="K11">
        <v>0.71</v>
      </c>
      <c r="L11">
        <v>97</v>
      </c>
      <c r="M11">
        <v>79</v>
      </c>
      <c r="N11">
        <v>0.77010000000000001</v>
      </c>
      <c r="O11">
        <v>0.63634000000000002</v>
      </c>
      <c r="P11">
        <v>1.23</v>
      </c>
      <c r="Q11">
        <v>66</v>
      </c>
      <c r="R11">
        <v>1</v>
      </c>
      <c r="S11">
        <v>97</v>
      </c>
      <c r="T11">
        <v>79</v>
      </c>
      <c r="U11">
        <v>0.63327999999999995</v>
      </c>
      <c r="V11">
        <v>0.76549</v>
      </c>
      <c r="W11">
        <v>1.28</v>
      </c>
      <c r="X11">
        <v>66</v>
      </c>
      <c r="Y11">
        <v>1</v>
      </c>
      <c r="Z11">
        <v>97</v>
      </c>
      <c r="AA11">
        <v>79</v>
      </c>
    </row>
    <row r="12" spans="1:27" x14ac:dyDescent="0.2">
      <c r="A12" t="s">
        <v>51</v>
      </c>
      <c r="B12" t="s">
        <v>14</v>
      </c>
      <c r="C12" t="s">
        <v>50</v>
      </c>
      <c r="D12" t="s">
        <v>38</v>
      </c>
      <c r="E12">
        <v>1</v>
      </c>
      <c r="F12" t="s">
        <v>422</v>
      </c>
      <c r="G12">
        <v>0.77305999999999997</v>
      </c>
      <c r="H12">
        <v>0.77305999999999997</v>
      </c>
      <c r="I12">
        <v>1.78</v>
      </c>
      <c r="J12">
        <v>65</v>
      </c>
      <c r="K12">
        <v>0.93799999999999994</v>
      </c>
      <c r="L12">
        <v>66</v>
      </c>
      <c r="M12">
        <v>66</v>
      </c>
      <c r="N12">
        <v>0.78280000000000005</v>
      </c>
      <c r="O12">
        <v>0.78280000000000005</v>
      </c>
      <c r="P12">
        <v>1.89</v>
      </c>
      <c r="Q12">
        <v>65</v>
      </c>
      <c r="R12">
        <v>0.98499999999999999</v>
      </c>
      <c r="S12">
        <v>66</v>
      </c>
      <c r="T12">
        <v>66</v>
      </c>
      <c r="U12">
        <v>0.78051999999999999</v>
      </c>
      <c r="V12">
        <v>0.78051999999999999</v>
      </c>
      <c r="W12">
        <v>1.93</v>
      </c>
      <c r="X12">
        <v>66</v>
      </c>
      <c r="Y12">
        <v>1</v>
      </c>
      <c r="Z12">
        <v>66</v>
      </c>
      <c r="AA12">
        <v>66</v>
      </c>
    </row>
    <row r="13" spans="1:27" x14ac:dyDescent="0.2">
      <c r="A13" t="s">
        <v>53</v>
      </c>
      <c r="B13" t="s">
        <v>14</v>
      </c>
      <c r="C13" t="s">
        <v>54</v>
      </c>
      <c r="D13" t="s">
        <v>55</v>
      </c>
      <c r="E13">
        <v>1</v>
      </c>
      <c r="F13" t="s">
        <v>423</v>
      </c>
      <c r="G13">
        <v>0.57696000000000003</v>
      </c>
      <c r="H13">
        <v>0.57696000000000003</v>
      </c>
      <c r="I13">
        <v>3.07</v>
      </c>
      <c r="J13">
        <v>81</v>
      </c>
      <c r="K13">
        <v>0.67900000000000005</v>
      </c>
      <c r="L13">
        <v>95</v>
      </c>
      <c r="M13">
        <v>95</v>
      </c>
      <c r="N13">
        <v>0.62495000000000001</v>
      </c>
      <c r="O13">
        <v>0.62495000000000001</v>
      </c>
      <c r="P13">
        <v>2.86</v>
      </c>
      <c r="Q13">
        <v>85</v>
      </c>
      <c r="R13">
        <v>0.8</v>
      </c>
      <c r="S13">
        <v>95</v>
      </c>
      <c r="T13">
        <v>95</v>
      </c>
      <c r="U13">
        <v>0.55052999999999996</v>
      </c>
      <c r="V13">
        <v>0.55052999999999996</v>
      </c>
      <c r="W13">
        <v>3.13</v>
      </c>
      <c r="X13">
        <v>78</v>
      </c>
      <c r="Y13">
        <v>0.71799999999999997</v>
      </c>
      <c r="Z13">
        <v>95</v>
      </c>
      <c r="AA13">
        <v>95</v>
      </c>
    </row>
    <row r="14" spans="1:27" x14ac:dyDescent="0.2">
      <c r="A14" t="s">
        <v>57</v>
      </c>
      <c r="B14" t="s">
        <v>14</v>
      </c>
      <c r="C14" t="s">
        <v>58</v>
      </c>
      <c r="D14" t="s">
        <v>59</v>
      </c>
      <c r="E14">
        <v>1</v>
      </c>
      <c r="F14" t="s">
        <v>424</v>
      </c>
      <c r="G14">
        <v>0.28986000000000001</v>
      </c>
      <c r="H14">
        <v>0.30972</v>
      </c>
      <c r="I14">
        <v>4.4000000000000004</v>
      </c>
      <c r="J14">
        <v>62</v>
      </c>
      <c r="K14">
        <v>0.30599999999999999</v>
      </c>
      <c r="L14">
        <v>127</v>
      </c>
      <c r="M14">
        <v>115</v>
      </c>
      <c r="N14">
        <v>0.97443000000000002</v>
      </c>
      <c r="O14">
        <v>0.88400000000000001</v>
      </c>
      <c r="P14">
        <v>0.85</v>
      </c>
      <c r="Q14">
        <v>115</v>
      </c>
      <c r="R14">
        <v>1</v>
      </c>
      <c r="S14">
        <v>127</v>
      </c>
      <c r="T14">
        <v>115</v>
      </c>
      <c r="U14">
        <v>0.88449</v>
      </c>
      <c r="V14">
        <v>0.97502999999999995</v>
      </c>
      <c r="W14">
        <v>0.85</v>
      </c>
      <c r="X14">
        <v>115</v>
      </c>
      <c r="Y14">
        <v>1</v>
      </c>
      <c r="Z14">
        <v>127</v>
      </c>
      <c r="AA14">
        <v>115</v>
      </c>
    </row>
    <row r="15" spans="1:27" x14ac:dyDescent="0.2">
      <c r="A15" t="s">
        <v>61</v>
      </c>
      <c r="B15" t="s">
        <v>14</v>
      </c>
      <c r="C15" t="s">
        <v>62</v>
      </c>
      <c r="D15" t="s">
        <v>59</v>
      </c>
      <c r="E15">
        <v>1</v>
      </c>
      <c r="F15" t="s">
        <v>425</v>
      </c>
      <c r="G15">
        <v>0.22026000000000001</v>
      </c>
      <c r="H15">
        <v>0.26679000000000003</v>
      </c>
      <c r="I15">
        <v>4.7</v>
      </c>
      <c r="J15">
        <v>54</v>
      </c>
      <c r="K15">
        <v>3.6999999999999998E-2</v>
      </c>
      <c r="L15">
        <v>150</v>
      </c>
      <c r="M15">
        <v>113</v>
      </c>
      <c r="N15">
        <v>0.98836000000000002</v>
      </c>
      <c r="O15">
        <v>0.74663000000000002</v>
      </c>
      <c r="P15">
        <v>0.46</v>
      </c>
      <c r="Q15">
        <v>113</v>
      </c>
      <c r="R15">
        <v>1</v>
      </c>
      <c r="S15">
        <v>150</v>
      </c>
      <c r="T15">
        <v>113</v>
      </c>
      <c r="U15">
        <v>0.74585000000000001</v>
      </c>
      <c r="V15">
        <v>0.98731999999999998</v>
      </c>
      <c r="W15">
        <v>0.51</v>
      </c>
      <c r="X15">
        <v>113</v>
      </c>
      <c r="Y15">
        <v>1</v>
      </c>
      <c r="Z15">
        <v>150</v>
      </c>
      <c r="AA15">
        <v>113</v>
      </c>
    </row>
    <row r="16" spans="1:27" x14ac:dyDescent="0.2">
      <c r="A16" t="s">
        <v>64</v>
      </c>
      <c r="B16" t="s">
        <v>26</v>
      </c>
      <c r="C16" t="s">
        <v>65</v>
      </c>
      <c r="D16" t="s">
        <v>16</v>
      </c>
      <c r="E16">
        <v>1</v>
      </c>
      <c r="F16" t="s">
        <v>426</v>
      </c>
      <c r="G16">
        <v>0.83818000000000004</v>
      </c>
      <c r="H16">
        <v>0.92225000000000001</v>
      </c>
      <c r="I16">
        <v>1.89</v>
      </c>
      <c r="J16">
        <v>244</v>
      </c>
      <c r="K16">
        <v>0.92600000000000005</v>
      </c>
      <c r="L16">
        <v>271</v>
      </c>
      <c r="M16">
        <v>245</v>
      </c>
      <c r="N16">
        <v>0.96877000000000002</v>
      </c>
      <c r="O16">
        <v>0.87783</v>
      </c>
      <c r="P16">
        <v>1.18</v>
      </c>
      <c r="Q16">
        <v>245</v>
      </c>
      <c r="R16">
        <v>1</v>
      </c>
      <c r="S16">
        <v>271</v>
      </c>
      <c r="T16">
        <v>245</v>
      </c>
      <c r="U16">
        <v>0.87897999999999998</v>
      </c>
      <c r="V16">
        <v>0.97011000000000003</v>
      </c>
      <c r="W16">
        <v>1.1599999999999999</v>
      </c>
      <c r="X16">
        <v>245</v>
      </c>
      <c r="Y16">
        <v>1</v>
      </c>
      <c r="Z16">
        <v>271</v>
      </c>
      <c r="AA16">
        <v>245</v>
      </c>
    </row>
    <row r="17" spans="1:27" x14ac:dyDescent="0.2">
      <c r="A17" t="s">
        <v>70</v>
      </c>
      <c r="B17" t="s">
        <v>14</v>
      </c>
      <c r="C17" t="s">
        <v>71</v>
      </c>
      <c r="D17" t="s">
        <v>72</v>
      </c>
      <c r="E17">
        <v>1</v>
      </c>
      <c r="F17" t="s">
        <v>427</v>
      </c>
      <c r="G17">
        <v>0.66752999999999996</v>
      </c>
      <c r="H17">
        <v>0.78974</v>
      </c>
      <c r="I17">
        <v>3.29</v>
      </c>
      <c r="J17">
        <v>183</v>
      </c>
      <c r="K17">
        <v>0.85799999999999998</v>
      </c>
      <c r="L17">
        <v>228</v>
      </c>
      <c r="M17">
        <v>189</v>
      </c>
      <c r="N17">
        <v>0.98050999999999999</v>
      </c>
      <c r="O17">
        <v>0.81535000000000002</v>
      </c>
      <c r="P17">
        <v>0.73</v>
      </c>
      <c r="Q17">
        <v>189</v>
      </c>
      <c r="R17">
        <v>1</v>
      </c>
      <c r="S17">
        <v>228</v>
      </c>
      <c r="T17">
        <v>189</v>
      </c>
      <c r="U17">
        <v>0.66715999999999998</v>
      </c>
      <c r="V17">
        <v>0.79151000000000005</v>
      </c>
      <c r="W17">
        <v>3.5</v>
      </c>
      <c r="X17">
        <v>183</v>
      </c>
      <c r="Y17">
        <v>0.84199999999999997</v>
      </c>
      <c r="Z17">
        <v>228</v>
      </c>
      <c r="AA17">
        <v>189</v>
      </c>
    </row>
    <row r="18" spans="1:27" x14ac:dyDescent="0.2">
      <c r="A18" t="s">
        <v>74</v>
      </c>
      <c r="B18" t="s">
        <v>14</v>
      </c>
      <c r="C18" t="s">
        <v>71</v>
      </c>
      <c r="D18" t="s">
        <v>72</v>
      </c>
      <c r="E18">
        <v>1</v>
      </c>
      <c r="F18" t="s">
        <v>428</v>
      </c>
      <c r="G18">
        <v>0.66747999999999996</v>
      </c>
      <c r="H18">
        <v>0.78885000000000005</v>
      </c>
      <c r="I18">
        <v>3.31</v>
      </c>
      <c r="J18">
        <v>184</v>
      </c>
      <c r="K18">
        <v>0.83699999999999997</v>
      </c>
      <c r="L18">
        <v>228</v>
      </c>
      <c r="M18">
        <v>189</v>
      </c>
      <c r="N18">
        <v>0.98724999999999996</v>
      </c>
      <c r="O18">
        <v>0.82006999999999997</v>
      </c>
      <c r="P18">
        <v>0.59</v>
      </c>
      <c r="Q18">
        <v>189</v>
      </c>
      <c r="R18">
        <v>1</v>
      </c>
      <c r="S18">
        <v>228</v>
      </c>
      <c r="T18">
        <v>189</v>
      </c>
      <c r="U18">
        <v>0.66796</v>
      </c>
      <c r="V18">
        <v>0.79215999999999998</v>
      </c>
      <c r="W18">
        <v>3.49</v>
      </c>
      <c r="X18">
        <v>183</v>
      </c>
      <c r="Y18">
        <v>0.85199999999999998</v>
      </c>
      <c r="Z18">
        <v>228</v>
      </c>
      <c r="AA18">
        <v>189</v>
      </c>
    </row>
    <row r="19" spans="1:27" x14ac:dyDescent="0.2">
      <c r="A19" t="s">
        <v>76</v>
      </c>
      <c r="B19" t="s">
        <v>77</v>
      </c>
      <c r="C19" t="s">
        <v>78</v>
      </c>
      <c r="D19" t="s">
        <v>79</v>
      </c>
      <c r="E19">
        <v>1</v>
      </c>
      <c r="F19" t="s">
        <v>429</v>
      </c>
      <c r="G19">
        <v>0.41221000000000002</v>
      </c>
      <c r="H19">
        <v>0.43071999999999999</v>
      </c>
      <c r="I19">
        <v>4.3099999999999996</v>
      </c>
      <c r="J19">
        <v>130</v>
      </c>
      <c r="K19">
        <v>0.623</v>
      </c>
      <c r="L19">
        <v>238</v>
      </c>
      <c r="M19">
        <v>226</v>
      </c>
      <c r="U19">
        <v>0.85585</v>
      </c>
      <c r="V19">
        <v>0.89851999999999999</v>
      </c>
      <c r="W19">
        <v>2.0499999999999998</v>
      </c>
      <c r="X19">
        <v>221</v>
      </c>
      <c r="Y19">
        <v>0.98599999999999999</v>
      </c>
      <c r="Z19">
        <v>238</v>
      </c>
      <c r="AA19">
        <v>226</v>
      </c>
    </row>
    <row r="20" spans="1:27" x14ac:dyDescent="0.2">
      <c r="A20" t="s">
        <v>81</v>
      </c>
      <c r="B20" t="s">
        <v>82</v>
      </c>
      <c r="C20" t="s">
        <v>83</v>
      </c>
      <c r="D20" t="s">
        <v>79</v>
      </c>
      <c r="E20">
        <v>1</v>
      </c>
      <c r="F20" t="s">
        <v>429</v>
      </c>
      <c r="G20">
        <v>0.42662</v>
      </c>
      <c r="H20">
        <v>0.46160000000000001</v>
      </c>
      <c r="I20">
        <v>4.62</v>
      </c>
      <c r="J20">
        <v>141</v>
      </c>
      <c r="K20">
        <v>0.51100000000000001</v>
      </c>
      <c r="L20">
        <v>244</v>
      </c>
      <c r="M20">
        <v>222</v>
      </c>
      <c r="N20">
        <v>0.92051000000000005</v>
      </c>
      <c r="O20">
        <v>0.84252000000000005</v>
      </c>
      <c r="P20">
        <v>1.83</v>
      </c>
      <c r="Q20">
        <v>222</v>
      </c>
      <c r="R20">
        <v>0.995</v>
      </c>
      <c r="S20">
        <v>244</v>
      </c>
      <c r="T20">
        <v>222</v>
      </c>
      <c r="U20">
        <v>0.81535999999999997</v>
      </c>
      <c r="V20">
        <v>0.89056000000000002</v>
      </c>
      <c r="W20">
        <v>1.83</v>
      </c>
      <c r="X20">
        <v>216</v>
      </c>
      <c r="Y20">
        <v>0.90300000000000002</v>
      </c>
      <c r="Z20">
        <v>244</v>
      </c>
      <c r="AA20">
        <v>222</v>
      </c>
    </row>
    <row r="21" spans="1:27" x14ac:dyDescent="0.2">
      <c r="A21" t="s">
        <v>84</v>
      </c>
      <c r="B21" t="s">
        <v>77</v>
      </c>
      <c r="C21" t="s">
        <v>85</v>
      </c>
      <c r="D21" t="s">
        <v>86</v>
      </c>
      <c r="E21">
        <v>1</v>
      </c>
      <c r="F21" t="s">
        <v>430</v>
      </c>
      <c r="G21">
        <v>0.67706999999999995</v>
      </c>
      <c r="H21">
        <v>0.68149999999999999</v>
      </c>
      <c r="I21">
        <v>3.2</v>
      </c>
      <c r="J21">
        <v>113</v>
      </c>
      <c r="K21">
        <v>0.77</v>
      </c>
      <c r="L21">
        <v>131</v>
      </c>
      <c r="M21">
        <v>130</v>
      </c>
      <c r="N21">
        <v>0.95804999999999996</v>
      </c>
      <c r="O21">
        <v>0.95079000000000002</v>
      </c>
      <c r="P21">
        <v>0.69</v>
      </c>
      <c r="Q21">
        <v>126</v>
      </c>
      <c r="R21">
        <v>1</v>
      </c>
      <c r="S21">
        <v>131</v>
      </c>
      <c r="T21">
        <v>130</v>
      </c>
      <c r="U21">
        <v>0.72652000000000005</v>
      </c>
      <c r="V21">
        <v>0.73146999999999995</v>
      </c>
      <c r="W21">
        <v>2.57</v>
      </c>
      <c r="X21">
        <v>113</v>
      </c>
      <c r="Y21">
        <v>0.73499999999999999</v>
      </c>
      <c r="Z21">
        <v>131</v>
      </c>
      <c r="AA21">
        <v>130</v>
      </c>
    </row>
    <row r="22" spans="1:27" x14ac:dyDescent="0.2">
      <c r="A22" t="s">
        <v>88</v>
      </c>
      <c r="B22" t="s">
        <v>77</v>
      </c>
      <c r="C22" t="s">
        <v>85</v>
      </c>
      <c r="D22" t="s">
        <v>86</v>
      </c>
      <c r="E22">
        <v>1</v>
      </c>
      <c r="F22" t="s">
        <v>430</v>
      </c>
      <c r="G22">
        <v>0.67791000000000001</v>
      </c>
      <c r="H22">
        <v>0.68235000000000001</v>
      </c>
      <c r="I22">
        <v>3.2</v>
      </c>
      <c r="J22">
        <v>113</v>
      </c>
      <c r="K22">
        <v>0.77</v>
      </c>
      <c r="L22">
        <v>131</v>
      </c>
      <c r="M22">
        <v>130</v>
      </c>
      <c r="N22">
        <v>0.95867000000000002</v>
      </c>
      <c r="O22">
        <v>0.95140000000000002</v>
      </c>
      <c r="P22">
        <v>0.68</v>
      </c>
      <c r="Q22">
        <v>126</v>
      </c>
      <c r="R22">
        <v>1</v>
      </c>
      <c r="S22">
        <v>131</v>
      </c>
      <c r="T22">
        <v>130</v>
      </c>
      <c r="U22">
        <v>0.72033999999999998</v>
      </c>
      <c r="V22">
        <v>0.72526000000000002</v>
      </c>
      <c r="W22">
        <v>2.38</v>
      </c>
      <c r="X22">
        <v>111</v>
      </c>
      <c r="Y22">
        <v>0.79300000000000004</v>
      </c>
      <c r="Z22">
        <v>131</v>
      </c>
      <c r="AA22">
        <v>130</v>
      </c>
    </row>
    <row r="23" spans="1:27" x14ac:dyDescent="0.2">
      <c r="A23" t="s">
        <v>89</v>
      </c>
      <c r="B23" t="s">
        <v>14</v>
      </c>
      <c r="C23" t="s">
        <v>90</v>
      </c>
      <c r="D23" t="s">
        <v>91</v>
      </c>
      <c r="E23">
        <v>1</v>
      </c>
      <c r="F23" t="s">
        <v>427</v>
      </c>
      <c r="G23">
        <v>0.79468000000000005</v>
      </c>
      <c r="H23">
        <v>0.82255</v>
      </c>
      <c r="I23">
        <v>2.1800000000000002</v>
      </c>
      <c r="J23">
        <v>74</v>
      </c>
      <c r="K23">
        <v>1</v>
      </c>
      <c r="L23">
        <v>80</v>
      </c>
      <c r="M23">
        <v>77</v>
      </c>
      <c r="N23">
        <v>0.73053999999999997</v>
      </c>
      <c r="O23">
        <v>0.70767000000000002</v>
      </c>
      <c r="P23">
        <v>2.68</v>
      </c>
      <c r="Q23">
        <v>72</v>
      </c>
      <c r="R23">
        <v>0.86099999999999999</v>
      </c>
      <c r="S23">
        <v>80</v>
      </c>
      <c r="T23">
        <v>77</v>
      </c>
      <c r="U23">
        <v>0.74134999999999995</v>
      </c>
      <c r="V23">
        <v>0.76651999999999998</v>
      </c>
      <c r="W23">
        <v>2.25</v>
      </c>
      <c r="X23">
        <v>71</v>
      </c>
      <c r="Y23">
        <v>0.77500000000000002</v>
      </c>
      <c r="Z23">
        <v>80</v>
      </c>
      <c r="AA23">
        <v>77</v>
      </c>
    </row>
    <row r="24" spans="1:27" x14ac:dyDescent="0.2">
      <c r="A24" t="s">
        <v>92</v>
      </c>
      <c r="B24" t="s">
        <v>19</v>
      </c>
      <c r="C24" t="s">
        <v>93</v>
      </c>
      <c r="D24" t="s">
        <v>91</v>
      </c>
      <c r="E24">
        <v>1</v>
      </c>
      <c r="F24" t="s">
        <v>427</v>
      </c>
      <c r="G24">
        <v>0.86446999999999996</v>
      </c>
      <c r="H24">
        <v>0.94089999999999996</v>
      </c>
      <c r="I24">
        <v>0.83</v>
      </c>
      <c r="J24">
        <v>74</v>
      </c>
      <c r="K24">
        <v>1</v>
      </c>
      <c r="L24">
        <v>81</v>
      </c>
      <c r="M24">
        <v>74</v>
      </c>
      <c r="N24">
        <v>0.52569999999999995</v>
      </c>
      <c r="O24">
        <v>0.49752000000000002</v>
      </c>
      <c r="P24">
        <v>3.37</v>
      </c>
      <c r="Q24">
        <v>67</v>
      </c>
      <c r="R24">
        <v>0.373</v>
      </c>
      <c r="S24">
        <v>81</v>
      </c>
      <c r="T24">
        <v>74</v>
      </c>
      <c r="U24">
        <v>0.28895999999999999</v>
      </c>
      <c r="V24">
        <v>0.30277999999999999</v>
      </c>
      <c r="W24">
        <v>4.2300000000000004</v>
      </c>
      <c r="X24">
        <v>46</v>
      </c>
      <c r="Y24">
        <v>0.13</v>
      </c>
      <c r="Z24">
        <v>81</v>
      </c>
      <c r="AA24">
        <v>74</v>
      </c>
    </row>
    <row r="25" spans="1:27" x14ac:dyDescent="0.2">
      <c r="A25" t="s">
        <v>94</v>
      </c>
      <c r="B25" t="s">
        <v>26</v>
      </c>
      <c r="C25" t="s">
        <v>95</v>
      </c>
      <c r="D25" t="s">
        <v>96</v>
      </c>
      <c r="E25">
        <v>1</v>
      </c>
      <c r="F25" t="s">
        <v>431</v>
      </c>
      <c r="G25">
        <v>0.59402999999999995</v>
      </c>
      <c r="H25">
        <v>0.95198000000000005</v>
      </c>
      <c r="I25">
        <v>0.73</v>
      </c>
      <c r="J25">
        <v>74</v>
      </c>
      <c r="K25">
        <v>0.97299999999999998</v>
      </c>
      <c r="L25">
        <v>121</v>
      </c>
      <c r="M25">
        <v>74</v>
      </c>
      <c r="N25">
        <v>0.97214</v>
      </c>
      <c r="O25">
        <v>0.60172000000000003</v>
      </c>
      <c r="P25">
        <v>0.53</v>
      </c>
      <c r="Q25">
        <v>74</v>
      </c>
      <c r="R25">
        <v>1</v>
      </c>
      <c r="S25">
        <v>121</v>
      </c>
      <c r="T25">
        <v>74</v>
      </c>
      <c r="U25">
        <v>0.59741999999999995</v>
      </c>
      <c r="V25">
        <v>0.96004999999999996</v>
      </c>
      <c r="W25">
        <v>0.64</v>
      </c>
      <c r="X25">
        <v>74</v>
      </c>
      <c r="Y25">
        <v>1</v>
      </c>
      <c r="Z25">
        <v>121</v>
      </c>
      <c r="AA25">
        <v>74</v>
      </c>
    </row>
    <row r="26" spans="1:27" x14ac:dyDescent="0.2">
      <c r="A26" t="s">
        <v>102</v>
      </c>
      <c r="B26" t="s">
        <v>68</v>
      </c>
      <c r="C26" t="s">
        <v>103</v>
      </c>
      <c r="D26" t="s">
        <v>104</v>
      </c>
      <c r="E26">
        <v>1</v>
      </c>
      <c r="F26" t="s">
        <v>432</v>
      </c>
      <c r="G26">
        <v>0.73897999999999997</v>
      </c>
      <c r="H26">
        <v>0.81918000000000002</v>
      </c>
      <c r="I26">
        <v>1.89</v>
      </c>
      <c r="J26">
        <v>78</v>
      </c>
      <c r="K26">
        <v>0.84599999999999997</v>
      </c>
      <c r="L26">
        <v>93</v>
      </c>
      <c r="M26">
        <v>83</v>
      </c>
      <c r="N26">
        <v>0.96606000000000003</v>
      </c>
      <c r="O26">
        <v>0.86482000000000003</v>
      </c>
      <c r="P26">
        <v>0.86</v>
      </c>
      <c r="Q26">
        <v>83</v>
      </c>
      <c r="R26">
        <v>1</v>
      </c>
      <c r="S26">
        <v>93</v>
      </c>
      <c r="T26">
        <v>83</v>
      </c>
      <c r="U26">
        <v>0.86953000000000003</v>
      </c>
      <c r="V26">
        <v>0.97223000000000004</v>
      </c>
      <c r="W26">
        <v>0.89</v>
      </c>
      <c r="X26">
        <v>83</v>
      </c>
      <c r="Y26">
        <v>1</v>
      </c>
      <c r="Z26">
        <v>93</v>
      </c>
      <c r="AA26">
        <v>83</v>
      </c>
    </row>
    <row r="27" spans="1:27" x14ac:dyDescent="0.2">
      <c r="A27" t="s">
        <v>105</v>
      </c>
      <c r="B27" t="s">
        <v>26</v>
      </c>
      <c r="C27" t="s">
        <v>106</v>
      </c>
      <c r="D27" t="s">
        <v>38</v>
      </c>
      <c r="E27">
        <v>1</v>
      </c>
      <c r="F27" t="s">
        <v>433</v>
      </c>
      <c r="G27">
        <v>0.43451000000000001</v>
      </c>
      <c r="H27">
        <v>0.97865999999999997</v>
      </c>
      <c r="I27">
        <v>0.39</v>
      </c>
      <c r="J27">
        <v>60</v>
      </c>
      <c r="K27">
        <v>1</v>
      </c>
      <c r="L27">
        <v>137</v>
      </c>
      <c r="M27">
        <v>60</v>
      </c>
      <c r="N27">
        <v>0.99019000000000001</v>
      </c>
      <c r="O27">
        <v>0.96157000000000004</v>
      </c>
      <c r="P27">
        <v>0.43</v>
      </c>
      <c r="Q27">
        <v>133</v>
      </c>
      <c r="R27">
        <v>1</v>
      </c>
      <c r="S27">
        <v>137</v>
      </c>
      <c r="T27">
        <v>133</v>
      </c>
      <c r="U27">
        <v>0.433</v>
      </c>
      <c r="V27">
        <v>0.97407999999999995</v>
      </c>
      <c r="W27">
        <v>0.5</v>
      </c>
      <c r="X27">
        <v>60</v>
      </c>
      <c r="Y27">
        <v>1</v>
      </c>
      <c r="Z27">
        <v>137</v>
      </c>
      <c r="AA27">
        <v>60</v>
      </c>
    </row>
    <row r="28" spans="1:27" x14ac:dyDescent="0.2">
      <c r="A28" t="s">
        <v>108</v>
      </c>
      <c r="B28" t="s">
        <v>26</v>
      </c>
      <c r="C28" t="s">
        <v>109</v>
      </c>
      <c r="D28" t="s">
        <v>104</v>
      </c>
      <c r="E28">
        <v>1</v>
      </c>
      <c r="F28" t="s">
        <v>434</v>
      </c>
      <c r="G28">
        <v>0.91459000000000001</v>
      </c>
      <c r="H28">
        <v>0.97292000000000001</v>
      </c>
      <c r="I28">
        <v>1.47</v>
      </c>
      <c r="J28">
        <v>568</v>
      </c>
      <c r="K28">
        <v>1</v>
      </c>
      <c r="L28">
        <v>605</v>
      </c>
      <c r="M28">
        <v>568</v>
      </c>
      <c r="N28">
        <v>0.99666999999999994</v>
      </c>
      <c r="O28">
        <v>0.93586999999999998</v>
      </c>
      <c r="P28">
        <v>0.49</v>
      </c>
      <c r="Q28">
        <v>568</v>
      </c>
      <c r="R28">
        <v>1</v>
      </c>
      <c r="S28">
        <v>605</v>
      </c>
      <c r="T28">
        <v>568</v>
      </c>
      <c r="U28">
        <v>0.93642999999999998</v>
      </c>
      <c r="V28">
        <v>0.99729000000000001</v>
      </c>
      <c r="W28">
        <v>0.44</v>
      </c>
      <c r="X28">
        <v>568</v>
      </c>
      <c r="Y28">
        <v>1</v>
      </c>
      <c r="Z28">
        <v>605</v>
      </c>
      <c r="AA28">
        <v>568</v>
      </c>
    </row>
    <row r="29" spans="1:27" x14ac:dyDescent="0.2">
      <c r="A29" t="s">
        <v>111</v>
      </c>
      <c r="B29" t="s">
        <v>14</v>
      </c>
      <c r="C29" t="s">
        <v>112</v>
      </c>
      <c r="D29" t="s">
        <v>38</v>
      </c>
      <c r="E29">
        <v>1</v>
      </c>
      <c r="F29" t="s">
        <v>435</v>
      </c>
      <c r="G29">
        <v>0.5675</v>
      </c>
      <c r="H29">
        <v>0.67896999999999996</v>
      </c>
      <c r="I29">
        <v>1.82</v>
      </c>
      <c r="J29">
        <v>64</v>
      </c>
      <c r="K29">
        <v>1</v>
      </c>
      <c r="L29">
        <v>97</v>
      </c>
      <c r="M29">
        <v>79</v>
      </c>
      <c r="N29">
        <v>0.75146000000000002</v>
      </c>
      <c r="O29">
        <v>0.62231000000000003</v>
      </c>
      <c r="P29">
        <v>1.5</v>
      </c>
      <c r="Q29">
        <v>66</v>
      </c>
      <c r="R29">
        <v>1</v>
      </c>
      <c r="S29">
        <v>97</v>
      </c>
      <c r="T29">
        <v>79</v>
      </c>
      <c r="U29">
        <v>0.61639999999999995</v>
      </c>
      <c r="V29">
        <v>0.74334999999999996</v>
      </c>
      <c r="W29">
        <v>1.58</v>
      </c>
      <c r="X29">
        <v>66</v>
      </c>
      <c r="Y29">
        <v>1</v>
      </c>
      <c r="Z29">
        <v>97</v>
      </c>
      <c r="AA29">
        <v>79</v>
      </c>
    </row>
    <row r="30" spans="1:27" x14ac:dyDescent="0.2">
      <c r="A30" t="s">
        <v>114</v>
      </c>
      <c r="B30" t="s">
        <v>14</v>
      </c>
      <c r="C30" t="s">
        <v>115</v>
      </c>
      <c r="D30" t="s">
        <v>116</v>
      </c>
      <c r="E30">
        <v>1</v>
      </c>
      <c r="F30" t="s">
        <v>436</v>
      </c>
      <c r="G30">
        <v>0.74897999999999998</v>
      </c>
      <c r="H30">
        <v>0.99043999999999999</v>
      </c>
      <c r="I30">
        <v>0.34</v>
      </c>
      <c r="J30">
        <v>89</v>
      </c>
      <c r="K30">
        <v>0.98899999999999999</v>
      </c>
      <c r="L30">
        <v>118</v>
      </c>
      <c r="M30">
        <v>89</v>
      </c>
      <c r="N30">
        <v>0.97114999999999996</v>
      </c>
      <c r="O30">
        <v>0.73811000000000004</v>
      </c>
      <c r="P30">
        <v>0.61</v>
      </c>
      <c r="Q30">
        <v>89</v>
      </c>
      <c r="R30">
        <v>0.98899999999999999</v>
      </c>
      <c r="S30">
        <v>118</v>
      </c>
      <c r="T30">
        <v>89</v>
      </c>
      <c r="U30">
        <v>0.74443999999999999</v>
      </c>
      <c r="V30">
        <v>0.98236999999999997</v>
      </c>
      <c r="W30">
        <v>0.47</v>
      </c>
      <c r="X30">
        <v>89</v>
      </c>
      <c r="Y30">
        <v>0.98899999999999999</v>
      </c>
      <c r="Z30">
        <v>118</v>
      </c>
      <c r="AA30">
        <v>89</v>
      </c>
    </row>
    <row r="31" spans="1:27" x14ac:dyDescent="0.2">
      <c r="A31" t="s">
        <v>118</v>
      </c>
      <c r="B31" t="s">
        <v>14</v>
      </c>
      <c r="C31" t="s">
        <v>119</v>
      </c>
      <c r="D31" t="s">
        <v>16</v>
      </c>
      <c r="E31">
        <v>1</v>
      </c>
      <c r="F31" t="s">
        <v>437</v>
      </c>
      <c r="G31">
        <v>0.84596000000000005</v>
      </c>
      <c r="H31">
        <v>0.87119000000000002</v>
      </c>
      <c r="I31">
        <v>2.02</v>
      </c>
      <c r="J31">
        <v>121</v>
      </c>
      <c r="K31">
        <v>1</v>
      </c>
      <c r="L31">
        <v>128</v>
      </c>
      <c r="M31">
        <v>124</v>
      </c>
      <c r="N31">
        <v>0.87892000000000003</v>
      </c>
      <c r="O31">
        <v>0.85360999999999998</v>
      </c>
      <c r="P31">
        <v>1.89</v>
      </c>
      <c r="Q31">
        <v>122</v>
      </c>
      <c r="R31">
        <v>0.96699999999999997</v>
      </c>
      <c r="S31">
        <v>128</v>
      </c>
      <c r="T31">
        <v>124</v>
      </c>
      <c r="U31">
        <v>0.89200000000000002</v>
      </c>
      <c r="V31">
        <v>0.91925000000000001</v>
      </c>
      <c r="W31">
        <v>1.33</v>
      </c>
      <c r="X31">
        <v>122</v>
      </c>
      <c r="Y31">
        <v>0.95099999999999996</v>
      </c>
      <c r="Z31">
        <v>128</v>
      </c>
      <c r="AA31">
        <v>124</v>
      </c>
    </row>
    <row r="32" spans="1:27" x14ac:dyDescent="0.2">
      <c r="A32" t="s">
        <v>121</v>
      </c>
      <c r="B32" t="s">
        <v>26</v>
      </c>
      <c r="C32" t="s">
        <v>122</v>
      </c>
      <c r="D32" t="s">
        <v>59</v>
      </c>
      <c r="E32">
        <v>1</v>
      </c>
      <c r="F32" t="s">
        <v>438</v>
      </c>
      <c r="G32">
        <v>0.20608000000000001</v>
      </c>
      <c r="H32">
        <v>0.22303999999999999</v>
      </c>
      <c r="I32">
        <v>4.7699999999999996</v>
      </c>
      <c r="J32">
        <v>40</v>
      </c>
      <c r="K32">
        <v>2.5000000000000001E-2</v>
      </c>
      <c r="L32">
        <v>91</v>
      </c>
      <c r="M32">
        <v>77</v>
      </c>
      <c r="N32">
        <v>0.46226</v>
      </c>
      <c r="O32">
        <v>0.40927000000000002</v>
      </c>
      <c r="P32">
        <v>3.43</v>
      </c>
      <c r="Q32">
        <v>55</v>
      </c>
      <c r="R32">
        <v>0.67300000000000004</v>
      </c>
      <c r="S32">
        <v>91</v>
      </c>
      <c r="T32">
        <v>77</v>
      </c>
      <c r="U32">
        <v>0.52373000000000003</v>
      </c>
      <c r="V32">
        <v>0.60348000000000002</v>
      </c>
      <c r="W32">
        <v>2.3199999999999998</v>
      </c>
      <c r="X32">
        <v>58</v>
      </c>
      <c r="Y32">
        <v>0.81</v>
      </c>
      <c r="Z32">
        <v>91</v>
      </c>
      <c r="AA32">
        <v>77</v>
      </c>
    </row>
    <row r="33" spans="1:27" x14ac:dyDescent="0.2">
      <c r="A33" t="s">
        <v>124</v>
      </c>
      <c r="B33" t="s">
        <v>14</v>
      </c>
      <c r="C33" t="s">
        <v>125</v>
      </c>
      <c r="D33" t="s">
        <v>126</v>
      </c>
      <c r="E33">
        <v>1</v>
      </c>
      <c r="F33" t="s">
        <v>439</v>
      </c>
      <c r="G33">
        <v>0.73416999999999999</v>
      </c>
      <c r="H33">
        <v>0.92569999999999997</v>
      </c>
      <c r="I33">
        <v>1.42</v>
      </c>
      <c r="J33">
        <v>119</v>
      </c>
      <c r="K33">
        <v>1</v>
      </c>
      <c r="L33">
        <v>155</v>
      </c>
      <c r="M33">
        <v>122</v>
      </c>
      <c r="N33">
        <v>0.96394999999999997</v>
      </c>
      <c r="O33">
        <v>0.76275000000000004</v>
      </c>
      <c r="P33">
        <v>0.79</v>
      </c>
      <c r="Q33">
        <v>121</v>
      </c>
      <c r="R33">
        <v>0.99199999999999999</v>
      </c>
      <c r="S33">
        <v>155</v>
      </c>
      <c r="T33">
        <v>122</v>
      </c>
      <c r="U33">
        <v>0.75895999999999997</v>
      </c>
      <c r="V33">
        <v>0.95792999999999995</v>
      </c>
      <c r="W33">
        <v>0.85</v>
      </c>
      <c r="X33">
        <v>121</v>
      </c>
      <c r="Y33">
        <v>0.99199999999999999</v>
      </c>
      <c r="Z33">
        <v>155</v>
      </c>
      <c r="AA33">
        <v>122</v>
      </c>
    </row>
    <row r="34" spans="1:27" x14ac:dyDescent="0.2">
      <c r="A34" t="s">
        <v>128</v>
      </c>
      <c r="B34" t="s">
        <v>77</v>
      </c>
      <c r="C34" t="s">
        <v>129</v>
      </c>
      <c r="D34" t="s">
        <v>38</v>
      </c>
      <c r="E34">
        <v>1</v>
      </c>
      <c r="F34" t="s">
        <v>440</v>
      </c>
      <c r="G34">
        <v>4.6870000000000002E-2</v>
      </c>
      <c r="H34">
        <v>0.99968000000000001</v>
      </c>
      <c r="I34">
        <v>0.01</v>
      </c>
      <c r="J34">
        <v>3</v>
      </c>
      <c r="K34">
        <v>0.33300000000000002</v>
      </c>
      <c r="L34">
        <v>64</v>
      </c>
      <c r="M34">
        <v>3</v>
      </c>
      <c r="N34">
        <v>0.91683999999999999</v>
      </c>
      <c r="O34">
        <v>0.80732000000000004</v>
      </c>
      <c r="P34">
        <v>0.74</v>
      </c>
      <c r="Q34">
        <v>54</v>
      </c>
      <c r="R34">
        <v>1</v>
      </c>
      <c r="S34">
        <v>64</v>
      </c>
      <c r="T34">
        <v>56</v>
      </c>
      <c r="U34">
        <v>4.6870000000000002E-2</v>
      </c>
      <c r="V34">
        <v>0.99973000000000001</v>
      </c>
      <c r="W34">
        <v>0.01</v>
      </c>
      <c r="X34">
        <v>3</v>
      </c>
      <c r="Y34">
        <v>0</v>
      </c>
      <c r="Z34">
        <v>64</v>
      </c>
      <c r="AA34">
        <v>3</v>
      </c>
    </row>
    <row r="35" spans="1:27" x14ac:dyDescent="0.2">
      <c r="A35" t="s">
        <v>135</v>
      </c>
      <c r="B35" t="s">
        <v>136</v>
      </c>
      <c r="C35" t="s">
        <v>137</v>
      </c>
      <c r="D35" t="s">
        <v>47</v>
      </c>
      <c r="E35">
        <v>1</v>
      </c>
      <c r="F35" t="s">
        <v>441</v>
      </c>
      <c r="G35">
        <v>0.23227</v>
      </c>
      <c r="H35">
        <v>0.26288</v>
      </c>
      <c r="I35">
        <v>3.95</v>
      </c>
      <c r="J35">
        <v>32</v>
      </c>
      <c r="K35">
        <v>3.1E-2</v>
      </c>
      <c r="L35">
        <v>77</v>
      </c>
      <c r="M35">
        <v>62</v>
      </c>
      <c r="N35">
        <v>0.92156000000000005</v>
      </c>
      <c r="O35">
        <v>0.74863999999999997</v>
      </c>
      <c r="P35">
        <v>1.39</v>
      </c>
      <c r="Q35">
        <v>61</v>
      </c>
      <c r="R35">
        <v>0.96699999999999997</v>
      </c>
      <c r="S35">
        <v>77</v>
      </c>
      <c r="T35">
        <v>62</v>
      </c>
      <c r="U35">
        <v>0.72594999999999998</v>
      </c>
      <c r="V35">
        <v>0.89015</v>
      </c>
      <c r="W35">
        <v>1.42</v>
      </c>
      <c r="X35">
        <v>60</v>
      </c>
      <c r="Y35">
        <v>1</v>
      </c>
      <c r="Z35">
        <v>77</v>
      </c>
      <c r="AA35">
        <v>62</v>
      </c>
    </row>
    <row r="36" spans="1:27" x14ac:dyDescent="0.2">
      <c r="A36" t="s">
        <v>138</v>
      </c>
      <c r="B36" t="s">
        <v>77</v>
      </c>
      <c r="C36" t="s">
        <v>139</v>
      </c>
      <c r="D36" t="s">
        <v>140</v>
      </c>
      <c r="E36">
        <v>1</v>
      </c>
      <c r="F36" t="s">
        <v>442</v>
      </c>
      <c r="G36">
        <v>0.96206999999999998</v>
      </c>
      <c r="H36">
        <v>0.96206999999999998</v>
      </c>
      <c r="I36">
        <v>0.91</v>
      </c>
      <c r="J36">
        <v>79</v>
      </c>
      <c r="K36">
        <v>1</v>
      </c>
      <c r="L36">
        <v>79</v>
      </c>
      <c r="M36">
        <v>79</v>
      </c>
      <c r="N36">
        <v>0.93700000000000006</v>
      </c>
      <c r="O36">
        <v>0.93700000000000006</v>
      </c>
      <c r="P36">
        <v>1.48</v>
      </c>
      <c r="Q36">
        <v>79</v>
      </c>
      <c r="R36">
        <v>1</v>
      </c>
      <c r="S36">
        <v>79</v>
      </c>
      <c r="T36">
        <v>79</v>
      </c>
      <c r="U36">
        <v>0.96094999999999997</v>
      </c>
      <c r="V36">
        <v>0.96094999999999997</v>
      </c>
      <c r="W36">
        <v>0.81</v>
      </c>
      <c r="X36">
        <v>79</v>
      </c>
      <c r="Y36">
        <v>1</v>
      </c>
      <c r="Z36">
        <v>79</v>
      </c>
      <c r="AA36">
        <v>79</v>
      </c>
    </row>
    <row r="37" spans="1:27" x14ac:dyDescent="0.2">
      <c r="A37" t="s">
        <v>142</v>
      </c>
      <c r="B37" t="s">
        <v>14</v>
      </c>
      <c r="C37" t="s">
        <v>143</v>
      </c>
      <c r="D37" t="s">
        <v>144</v>
      </c>
      <c r="E37">
        <v>1</v>
      </c>
      <c r="F37" t="s">
        <v>443</v>
      </c>
      <c r="G37">
        <v>0.88753000000000004</v>
      </c>
      <c r="H37">
        <v>0.89615999999999996</v>
      </c>
      <c r="I37">
        <v>1.63</v>
      </c>
      <c r="J37">
        <v>95</v>
      </c>
      <c r="K37">
        <v>0.94699999999999995</v>
      </c>
      <c r="L37">
        <v>98</v>
      </c>
      <c r="M37">
        <v>97</v>
      </c>
      <c r="N37">
        <v>0.89490999999999998</v>
      </c>
      <c r="O37">
        <v>0.88629999999999998</v>
      </c>
      <c r="P37">
        <v>1.65</v>
      </c>
      <c r="Q37">
        <v>95</v>
      </c>
      <c r="R37">
        <v>0.94699999999999995</v>
      </c>
      <c r="S37">
        <v>98</v>
      </c>
      <c r="T37">
        <v>97</v>
      </c>
      <c r="U37">
        <v>0.88222999999999996</v>
      </c>
      <c r="V37">
        <v>0.89075000000000004</v>
      </c>
      <c r="W37">
        <v>1.42</v>
      </c>
      <c r="X37">
        <v>94</v>
      </c>
      <c r="Y37">
        <v>0.95699999999999996</v>
      </c>
      <c r="Z37">
        <v>98</v>
      </c>
      <c r="AA37">
        <v>97</v>
      </c>
    </row>
    <row r="38" spans="1:27" x14ac:dyDescent="0.2">
      <c r="A38" t="s">
        <v>150</v>
      </c>
      <c r="B38" t="s">
        <v>151</v>
      </c>
      <c r="C38" t="s">
        <v>152</v>
      </c>
      <c r="D38" t="s">
        <v>38</v>
      </c>
      <c r="E38">
        <v>1</v>
      </c>
      <c r="F38" t="s">
        <v>444</v>
      </c>
      <c r="G38">
        <v>0.74760000000000004</v>
      </c>
      <c r="H38">
        <v>0.82077999999999995</v>
      </c>
      <c r="I38">
        <v>1.84</v>
      </c>
      <c r="J38">
        <v>78</v>
      </c>
      <c r="K38">
        <v>0.84599999999999997</v>
      </c>
      <c r="L38">
        <v>93</v>
      </c>
      <c r="M38">
        <v>84</v>
      </c>
      <c r="N38">
        <v>0.96275999999999995</v>
      </c>
      <c r="O38">
        <v>0.87107000000000001</v>
      </c>
      <c r="P38">
        <v>0.83</v>
      </c>
      <c r="Q38">
        <v>83</v>
      </c>
      <c r="R38">
        <v>1</v>
      </c>
      <c r="S38">
        <v>93</v>
      </c>
      <c r="T38">
        <v>84</v>
      </c>
      <c r="U38">
        <v>0.87212999999999996</v>
      </c>
      <c r="V38">
        <v>0.96416999999999997</v>
      </c>
      <c r="W38">
        <v>0.87</v>
      </c>
      <c r="X38">
        <v>83</v>
      </c>
      <c r="Y38">
        <v>1</v>
      </c>
      <c r="Z38">
        <v>93</v>
      </c>
      <c r="AA38">
        <v>84</v>
      </c>
    </row>
    <row r="39" spans="1:27" x14ac:dyDescent="0.2">
      <c r="A39" t="s">
        <v>153</v>
      </c>
      <c r="B39" t="s">
        <v>154</v>
      </c>
      <c r="C39" t="s">
        <v>152</v>
      </c>
      <c r="D39" t="s">
        <v>38</v>
      </c>
      <c r="E39">
        <v>1</v>
      </c>
      <c r="F39" t="s">
        <v>444</v>
      </c>
      <c r="G39">
        <v>0.74424000000000001</v>
      </c>
      <c r="H39">
        <v>0.74424000000000001</v>
      </c>
      <c r="I39">
        <v>1.83</v>
      </c>
      <c r="J39">
        <v>78</v>
      </c>
      <c r="K39">
        <v>0.84599999999999997</v>
      </c>
      <c r="L39">
        <v>93</v>
      </c>
      <c r="M39">
        <v>93</v>
      </c>
      <c r="N39">
        <v>0.87253000000000003</v>
      </c>
      <c r="O39">
        <v>0.87253000000000003</v>
      </c>
      <c r="P39">
        <v>1.1499999999999999</v>
      </c>
      <c r="Q39">
        <v>84</v>
      </c>
      <c r="R39">
        <v>1</v>
      </c>
      <c r="S39">
        <v>93</v>
      </c>
      <c r="T39">
        <v>93</v>
      </c>
      <c r="U39">
        <v>0.89327999999999996</v>
      </c>
      <c r="V39">
        <v>0.89327999999999996</v>
      </c>
      <c r="W39">
        <v>1.29</v>
      </c>
      <c r="X39">
        <v>88</v>
      </c>
      <c r="Y39">
        <v>1</v>
      </c>
      <c r="Z39">
        <v>93</v>
      </c>
      <c r="AA39">
        <v>93</v>
      </c>
    </row>
    <row r="40" spans="1:27" x14ac:dyDescent="0.2">
      <c r="A40" t="s">
        <v>158</v>
      </c>
      <c r="B40" t="s">
        <v>19</v>
      </c>
      <c r="C40" t="s">
        <v>152</v>
      </c>
      <c r="D40" t="s">
        <v>38</v>
      </c>
      <c r="E40">
        <v>1</v>
      </c>
      <c r="F40" t="s">
        <v>444</v>
      </c>
      <c r="G40">
        <v>0.75183</v>
      </c>
      <c r="H40">
        <v>0.85394999999999999</v>
      </c>
      <c r="I40">
        <v>1.52</v>
      </c>
      <c r="J40">
        <v>77</v>
      </c>
      <c r="K40">
        <v>0.85699999999999998</v>
      </c>
      <c r="L40">
        <v>93</v>
      </c>
      <c r="M40">
        <v>81</v>
      </c>
      <c r="N40">
        <v>0.99168999999999996</v>
      </c>
      <c r="O40">
        <v>0.86482999999999999</v>
      </c>
      <c r="P40">
        <v>0.3</v>
      </c>
      <c r="Q40">
        <v>81</v>
      </c>
      <c r="R40">
        <v>1</v>
      </c>
      <c r="S40">
        <v>93</v>
      </c>
      <c r="T40">
        <v>81</v>
      </c>
      <c r="U40">
        <v>0.86092000000000002</v>
      </c>
      <c r="V40">
        <v>0.98640000000000005</v>
      </c>
      <c r="W40">
        <v>0.38</v>
      </c>
      <c r="X40">
        <v>81</v>
      </c>
      <c r="Y40">
        <v>1</v>
      </c>
      <c r="Z40">
        <v>93</v>
      </c>
      <c r="AA40">
        <v>81</v>
      </c>
    </row>
    <row r="41" spans="1:27" x14ac:dyDescent="0.2">
      <c r="A41" t="s">
        <v>162</v>
      </c>
      <c r="B41" t="s">
        <v>68</v>
      </c>
      <c r="C41" t="s">
        <v>152</v>
      </c>
      <c r="D41" t="s">
        <v>38</v>
      </c>
      <c r="E41">
        <v>1</v>
      </c>
      <c r="F41" t="s">
        <v>445</v>
      </c>
      <c r="G41">
        <v>0.73706000000000005</v>
      </c>
      <c r="H41">
        <v>0.81766000000000005</v>
      </c>
      <c r="I41">
        <v>1.7</v>
      </c>
      <c r="J41">
        <v>77</v>
      </c>
      <c r="K41">
        <v>0.85699999999999998</v>
      </c>
      <c r="L41">
        <v>93</v>
      </c>
      <c r="M41">
        <v>83</v>
      </c>
      <c r="N41">
        <v>0.96592</v>
      </c>
      <c r="O41">
        <v>0.86502000000000001</v>
      </c>
      <c r="P41">
        <v>0.79</v>
      </c>
      <c r="Q41">
        <v>83</v>
      </c>
      <c r="R41">
        <v>1</v>
      </c>
      <c r="S41">
        <v>93</v>
      </c>
      <c r="T41">
        <v>83</v>
      </c>
      <c r="U41">
        <v>0.87017</v>
      </c>
      <c r="V41">
        <v>0.97262000000000004</v>
      </c>
      <c r="W41">
        <v>0.77</v>
      </c>
      <c r="X41">
        <v>83</v>
      </c>
      <c r="Y41">
        <v>1</v>
      </c>
      <c r="Z41">
        <v>93</v>
      </c>
      <c r="AA41">
        <v>83</v>
      </c>
    </row>
    <row r="42" spans="1:27" x14ac:dyDescent="0.2">
      <c r="A42" t="s">
        <v>163</v>
      </c>
      <c r="B42" t="s">
        <v>164</v>
      </c>
      <c r="C42" t="s">
        <v>152</v>
      </c>
      <c r="D42" t="s">
        <v>38</v>
      </c>
      <c r="E42">
        <v>1</v>
      </c>
      <c r="F42" t="s">
        <v>445</v>
      </c>
      <c r="G42">
        <v>0.73170000000000002</v>
      </c>
      <c r="H42">
        <v>0.81908000000000003</v>
      </c>
      <c r="I42">
        <v>1.95</v>
      </c>
      <c r="J42">
        <v>78</v>
      </c>
      <c r="K42">
        <v>0.84599999999999997</v>
      </c>
      <c r="L42">
        <v>93</v>
      </c>
      <c r="M42">
        <v>82</v>
      </c>
      <c r="N42">
        <v>0.98528000000000004</v>
      </c>
      <c r="O42">
        <v>0.87056</v>
      </c>
      <c r="P42">
        <v>0.4</v>
      </c>
      <c r="Q42">
        <v>82</v>
      </c>
      <c r="R42">
        <v>1</v>
      </c>
      <c r="S42">
        <v>93</v>
      </c>
      <c r="T42">
        <v>82</v>
      </c>
      <c r="U42">
        <v>0.87407000000000001</v>
      </c>
      <c r="V42">
        <v>0.99000999999999995</v>
      </c>
      <c r="W42">
        <v>0.34</v>
      </c>
      <c r="X42">
        <v>82</v>
      </c>
      <c r="Y42">
        <v>1</v>
      </c>
      <c r="Z42">
        <v>93</v>
      </c>
      <c r="AA42">
        <v>82</v>
      </c>
    </row>
    <row r="43" spans="1:27" x14ac:dyDescent="0.2">
      <c r="A43" t="s">
        <v>168</v>
      </c>
      <c r="B43" t="s">
        <v>14</v>
      </c>
      <c r="C43" t="s">
        <v>169</v>
      </c>
      <c r="D43" t="s">
        <v>170</v>
      </c>
      <c r="E43">
        <v>1</v>
      </c>
      <c r="F43" t="s">
        <v>446</v>
      </c>
      <c r="G43">
        <v>0.3659</v>
      </c>
      <c r="H43">
        <v>0.3659</v>
      </c>
      <c r="I43">
        <v>2.58</v>
      </c>
      <c r="J43">
        <v>34</v>
      </c>
      <c r="K43">
        <v>0.91200000000000003</v>
      </c>
      <c r="L43">
        <v>75</v>
      </c>
      <c r="M43">
        <v>75</v>
      </c>
      <c r="N43">
        <v>0.42210999999999999</v>
      </c>
      <c r="O43">
        <v>0.42210999999999999</v>
      </c>
      <c r="P43">
        <v>2.56</v>
      </c>
      <c r="Q43">
        <v>41</v>
      </c>
      <c r="R43">
        <v>0.90200000000000002</v>
      </c>
      <c r="S43">
        <v>75</v>
      </c>
      <c r="T43">
        <v>75</v>
      </c>
      <c r="U43">
        <v>0.39676</v>
      </c>
      <c r="V43">
        <v>0.39676</v>
      </c>
      <c r="W43">
        <v>2.42</v>
      </c>
      <c r="X43">
        <v>38</v>
      </c>
      <c r="Y43">
        <v>0.84199999999999997</v>
      </c>
      <c r="Z43">
        <v>75</v>
      </c>
      <c r="AA43">
        <v>75</v>
      </c>
    </row>
    <row r="44" spans="1:27" x14ac:dyDescent="0.2">
      <c r="A44" t="s">
        <v>172</v>
      </c>
      <c r="B44" t="s">
        <v>77</v>
      </c>
      <c r="C44" t="s">
        <v>173</v>
      </c>
      <c r="D44" t="s">
        <v>174</v>
      </c>
      <c r="E44">
        <v>1</v>
      </c>
      <c r="F44" t="s">
        <v>447</v>
      </c>
      <c r="G44">
        <v>0.73097000000000001</v>
      </c>
      <c r="H44">
        <v>0.73097000000000001</v>
      </c>
      <c r="I44">
        <v>2.0699999999999998</v>
      </c>
      <c r="J44">
        <v>67</v>
      </c>
      <c r="K44">
        <v>0.91</v>
      </c>
      <c r="L44">
        <v>79</v>
      </c>
      <c r="M44">
        <v>79</v>
      </c>
      <c r="N44">
        <v>0.88407999999999998</v>
      </c>
      <c r="O44">
        <v>0.88407999999999998</v>
      </c>
      <c r="P44">
        <v>1.81</v>
      </c>
      <c r="Q44">
        <v>76</v>
      </c>
      <c r="R44">
        <v>0.94699999999999995</v>
      </c>
      <c r="S44">
        <v>79</v>
      </c>
      <c r="T44">
        <v>79</v>
      </c>
      <c r="U44">
        <v>0.91003999999999996</v>
      </c>
      <c r="V44">
        <v>0.91003999999999996</v>
      </c>
      <c r="W44">
        <v>1.32</v>
      </c>
      <c r="X44">
        <v>76</v>
      </c>
      <c r="Y44">
        <v>1</v>
      </c>
      <c r="Z44">
        <v>79</v>
      </c>
      <c r="AA44">
        <v>79</v>
      </c>
    </row>
    <row r="45" spans="1:27" x14ac:dyDescent="0.2">
      <c r="A45" t="s">
        <v>178</v>
      </c>
      <c r="B45" t="s">
        <v>19</v>
      </c>
      <c r="C45" t="s">
        <v>50</v>
      </c>
      <c r="D45" t="s">
        <v>38</v>
      </c>
      <c r="E45">
        <v>1</v>
      </c>
      <c r="F45" t="s">
        <v>448</v>
      </c>
      <c r="G45">
        <v>0.82730000000000004</v>
      </c>
      <c r="H45">
        <v>0.82730000000000004</v>
      </c>
      <c r="I45">
        <v>2.11</v>
      </c>
      <c r="J45">
        <v>66</v>
      </c>
      <c r="K45">
        <v>1</v>
      </c>
      <c r="L45">
        <v>68</v>
      </c>
      <c r="M45">
        <v>68</v>
      </c>
      <c r="N45">
        <v>0.95564000000000004</v>
      </c>
      <c r="O45">
        <v>0.95564000000000004</v>
      </c>
      <c r="P45">
        <v>0.66</v>
      </c>
      <c r="Q45">
        <v>68</v>
      </c>
      <c r="R45">
        <v>1</v>
      </c>
      <c r="S45">
        <v>68</v>
      </c>
      <c r="T45">
        <v>68</v>
      </c>
      <c r="U45">
        <v>0.97333000000000003</v>
      </c>
      <c r="V45">
        <v>0.97333000000000003</v>
      </c>
      <c r="W45">
        <v>0.51</v>
      </c>
      <c r="X45">
        <v>68</v>
      </c>
      <c r="Y45">
        <v>1</v>
      </c>
      <c r="Z45">
        <v>68</v>
      </c>
      <c r="AA45">
        <v>68</v>
      </c>
    </row>
    <row r="46" spans="1:27" x14ac:dyDescent="0.2">
      <c r="A46" t="s">
        <v>179</v>
      </c>
      <c r="B46" t="s">
        <v>26</v>
      </c>
      <c r="C46" t="s">
        <v>46</v>
      </c>
      <c r="D46" t="s">
        <v>180</v>
      </c>
      <c r="E46">
        <v>1</v>
      </c>
      <c r="F46" t="s">
        <v>449</v>
      </c>
      <c r="G46">
        <v>0.36696000000000001</v>
      </c>
      <c r="H46">
        <v>0.37615999999999999</v>
      </c>
      <c r="I46">
        <v>3.61</v>
      </c>
      <c r="J46">
        <v>49</v>
      </c>
      <c r="K46">
        <v>0.40799999999999997</v>
      </c>
      <c r="L46">
        <v>80</v>
      </c>
      <c r="M46">
        <v>77</v>
      </c>
      <c r="N46">
        <v>0.99121000000000004</v>
      </c>
      <c r="O46">
        <v>0.95443</v>
      </c>
      <c r="P46">
        <v>0.3</v>
      </c>
      <c r="Q46">
        <v>77</v>
      </c>
      <c r="R46">
        <v>1</v>
      </c>
      <c r="S46">
        <v>80</v>
      </c>
      <c r="T46">
        <v>77</v>
      </c>
      <c r="U46">
        <v>0.79676999999999998</v>
      </c>
      <c r="V46">
        <v>0.82508999999999999</v>
      </c>
      <c r="W46">
        <v>1.87</v>
      </c>
      <c r="X46">
        <v>73</v>
      </c>
      <c r="Y46">
        <v>0.98599999999999999</v>
      </c>
      <c r="Z46">
        <v>80</v>
      </c>
      <c r="AA46">
        <v>77</v>
      </c>
    </row>
    <row r="47" spans="1:27" x14ac:dyDescent="0.2">
      <c r="A47" t="s">
        <v>182</v>
      </c>
      <c r="B47" t="s">
        <v>183</v>
      </c>
      <c r="C47" t="s">
        <v>46</v>
      </c>
      <c r="D47" t="s">
        <v>184</v>
      </c>
      <c r="E47">
        <v>1</v>
      </c>
      <c r="F47" t="s">
        <v>450</v>
      </c>
      <c r="G47">
        <v>0.94376000000000004</v>
      </c>
      <c r="H47">
        <v>0.94376000000000004</v>
      </c>
      <c r="I47">
        <v>0.91</v>
      </c>
      <c r="J47">
        <v>67</v>
      </c>
      <c r="K47">
        <v>1</v>
      </c>
      <c r="L47">
        <v>68</v>
      </c>
      <c r="M47">
        <v>68</v>
      </c>
      <c r="N47">
        <v>0.96958</v>
      </c>
      <c r="O47">
        <v>0.95587999999999995</v>
      </c>
      <c r="P47">
        <v>0.52</v>
      </c>
      <c r="Q47">
        <v>67</v>
      </c>
      <c r="R47">
        <v>1</v>
      </c>
      <c r="S47">
        <v>68</v>
      </c>
      <c r="T47">
        <v>67</v>
      </c>
      <c r="U47">
        <v>0.97140000000000004</v>
      </c>
      <c r="V47">
        <v>0.97140000000000004</v>
      </c>
      <c r="W47">
        <v>0.56999999999999995</v>
      </c>
      <c r="X47">
        <v>68</v>
      </c>
      <c r="Y47">
        <v>1</v>
      </c>
      <c r="Z47">
        <v>68</v>
      </c>
      <c r="AA47">
        <v>68</v>
      </c>
    </row>
    <row r="48" spans="1:27" x14ac:dyDescent="0.2">
      <c r="A48" t="s">
        <v>186</v>
      </c>
      <c r="B48" t="s">
        <v>14</v>
      </c>
      <c r="C48" t="s">
        <v>169</v>
      </c>
      <c r="D48" t="s">
        <v>187</v>
      </c>
      <c r="E48">
        <v>1</v>
      </c>
      <c r="F48" t="s">
        <v>451</v>
      </c>
      <c r="G48">
        <v>0.50429999999999997</v>
      </c>
      <c r="H48">
        <v>0.56074000000000002</v>
      </c>
      <c r="I48">
        <v>3.93</v>
      </c>
      <c r="J48">
        <v>118</v>
      </c>
      <c r="K48">
        <v>0.66100000000000003</v>
      </c>
      <c r="L48">
        <v>157</v>
      </c>
      <c r="M48">
        <v>136</v>
      </c>
      <c r="N48">
        <v>0.75978000000000001</v>
      </c>
      <c r="O48">
        <v>0.67095000000000005</v>
      </c>
      <c r="P48">
        <v>3.34</v>
      </c>
      <c r="Q48">
        <v>132</v>
      </c>
      <c r="R48">
        <v>0.81799999999999995</v>
      </c>
      <c r="S48">
        <v>157</v>
      </c>
      <c r="T48">
        <v>136</v>
      </c>
      <c r="U48">
        <v>0.34658</v>
      </c>
      <c r="V48">
        <v>0.38238</v>
      </c>
      <c r="W48">
        <v>4.97</v>
      </c>
      <c r="X48">
        <v>90</v>
      </c>
      <c r="Y48">
        <v>0.57799999999999996</v>
      </c>
      <c r="Z48">
        <v>157</v>
      </c>
      <c r="AA48">
        <v>136</v>
      </c>
    </row>
    <row r="49" spans="1:27" x14ac:dyDescent="0.2">
      <c r="A49" t="s">
        <v>189</v>
      </c>
      <c r="B49" t="s">
        <v>14</v>
      </c>
      <c r="C49" t="s">
        <v>190</v>
      </c>
      <c r="D49" t="s">
        <v>191</v>
      </c>
      <c r="E49">
        <v>1</v>
      </c>
      <c r="F49" t="s">
        <v>452</v>
      </c>
      <c r="G49">
        <v>0.30736000000000002</v>
      </c>
      <c r="H49">
        <v>0.30736000000000002</v>
      </c>
      <c r="I49">
        <v>4.57</v>
      </c>
      <c r="J49">
        <v>75</v>
      </c>
      <c r="K49">
        <v>9.2999999999999999E-2</v>
      </c>
      <c r="L49">
        <v>158</v>
      </c>
      <c r="M49">
        <v>158</v>
      </c>
      <c r="N49">
        <v>0.90546000000000004</v>
      </c>
      <c r="O49">
        <v>0.90546000000000004</v>
      </c>
      <c r="P49">
        <v>1.82</v>
      </c>
      <c r="Q49">
        <v>157</v>
      </c>
      <c r="R49">
        <v>0.98099999999999998</v>
      </c>
      <c r="S49">
        <v>158</v>
      </c>
      <c r="T49">
        <v>158</v>
      </c>
      <c r="U49">
        <v>0.92610999999999999</v>
      </c>
      <c r="V49">
        <v>0.92610999999999999</v>
      </c>
      <c r="W49">
        <v>1.67</v>
      </c>
      <c r="X49">
        <v>157</v>
      </c>
      <c r="Y49">
        <v>0.95499999999999996</v>
      </c>
      <c r="Z49">
        <v>158</v>
      </c>
      <c r="AA49">
        <v>158</v>
      </c>
    </row>
    <row r="50" spans="1:27" x14ac:dyDescent="0.2">
      <c r="A50" t="s">
        <v>193</v>
      </c>
      <c r="B50" t="s">
        <v>14</v>
      </c>
      <c r="C50" t="s">
        <v>194</v>
      </c>
      <c r="D50" t="s">
        <v>140</v>
      </c>
      <c r="E50">
        <v>1</v>
      </c>
      <c r="F50" t="s">
        <v>453</v>
      </c>
      <c r="G50">
        <v>0.30260999999999999</v>
      </c>
      <c r="H50">
        <v>0.30260999999999999</v>
      </c>
      <c r="I50">
        <v>4.87</v>
      </c>
      <c r="J50">
        <v>75</v>
      </c>
      <c r="K50">
        <v>0.04</v>
      </c>
      <c r="L50">
        <v>143</v>
      </c>
      <c r="M50">
        <v>143</v>
      </c>
      <c r="N50">
        <v>0.86395</v>
      </c>
      <c r="O50">
        <v>0.86395</v>
      </c>
      <c r="P50">
        <v>2.1</v>
      </c>
      <c r="Q50">
        <v>142</v>
      </c>
      <c r="R50">
        <v>1</v>
      </c>
      <c r="S50">
        <v>143</v>
      </c>
      <c r="T50">
        <v>143</v>
      </c>
      <c r="U50">
        <v>0.92632999999999999</v>
      </c>
      <c r="V50">
        <v>0.92632999999999999</v>
      </c>
      <c r="W50">
        <v>1.76</v>
      </c>
      <c r="X50">
        <v>143</v>
      </c>
      <c r="Y50">
        <v>1</v>
      </c>
      <c r="Z50">
        <v>143</v>
      </c>
      <c r="AA50">
        <v>143</v>
      </c>
    </row>
    <row r="51" spans="1:27" x14ac:dyDescent="0.2">
      <c r="A51" t="s">
        <v>199</v>
      </c>
      <c r="B51" t="s">
        <v>200</v>
      </c>
      <c r="C51" t="s">
        <v>152</v>
      </c>
      <c r="D51" t="s">
        <v>201</v>
      </c>
      <c r="E51">
        <v>1</v>
      </c>
      <c r="F51" t="s">
        <v>454</v>
      </c>
      <c r="G51">
        <v>0.38696999999999998</v>
      </c>
      <c r="H51">
        <v>0.42946000000000001</v>
      </c>
      <c r="I51">
        <v>3.7</v>
      </c>
      <c r="J51">
        <v>57</v>
      </c>
      <c r="K51">
        <v>0.70199999999999996</v>
      </c>
      <c r="L51">
        <v>93</v>
      </c>
      <c r="M51">
        <v>80</v>
      </c>
      <c r="N51">
        <v>0.98187000000000002</v>
      </c>
      <c r="O51">
        <v>0.84718000000000004</v>
      </c>
      <c r="P51">
        <v>0.44</v>
      </c>
      <c r="Q51">
        <v>80</v>
      </c>
      <c r="R51">
        <v>1</v>
      </c>
      <c r="S51">
        <v>93</v>
      </c>
      <c r="T51">
        <v>80</v>
      </c>
      <c r="U51">
        <v>0.85109000000000001</v>
      </c>
      <c r="V51">
        <v>0.98733000000000004</v>
      </c>
      <c r="W51">
        <v>0.37</v>
      </c>
      <c r="X51">
        <v>80</v>
      </c>
      <c r="Y51">
        <v>1</v>
      </c>
      <c r="Z51">
        <v>93</v>
      </c>
      <c r="AA51">
        <v>80</v>
      </c>
    </row>
    <row r="52" spans="1:27" x14ac:dyDescent="0.2">
      <c r="A52" t="s">
        <v>202</v>
      </c>
      <c r="B52" t="s">
        <v>14</v>
      </c>
      <c r="C52" t="s">
        <v>203</v>
      </c>
      <c r="D52" t="s">
        <v>204</v>
      </c>
      <c r="E52">
        <v>1</v>
      </c>
      <c r="F52" t="s">
        <v>455</v>
      </c>
      <c r="G52">
        <v>0.28098000000000001</v>
      </c>
      <c r="H52">
        <v>0.28249999999999997</v>
      </c>
      <c r="I52">
        <v>4.76</v>
      </c>
      <c r="J52">
        <v>61</v>
      </c>
      <c r="K52">
        <v>0.47499999999999998</v>
      </c>
      <c r="L52">
        <v>125</v>
      </c>
      <c r="M52">
        <v>124</v>
      </c>
      <c r="N52">
        <v>0.37217</v>
      </c>
      <c r="O52">
        <v>0.37010999999999999</v>
      </c>
      <c r="P52">
        <v>4.3</v>
      </c>
      <c r="Q52">
        <v>75</v>
      </c>
      <c r="R52">
        <v>0.08</v>
      </c>
      <c r="S52">
        <v>125</v>
      </c>
      <c r="T52">
        <v>124</v>
      </c>
      <c r="U52">
        <v>0.31352999999999998</v>
      </c>
      <c r="V52">
        <v>0.31541000000000002</v>
      </c>
      <c r="W52">
        <v>4.63</v>
      </c>
      <c r="X52">
        <v>63</v>
      </c>
      <c r="Y52">
        <v>0</v>
      </c>
      <c r="Z52">
        <v>125</v>
      </c>
      <c r="AA52">
        <v>124</v>
      </c>
    </row>
    <row r="53" spans="1:27" x14ac:dyDescent="0.2">
      <c r="A53" t="s">
        <v>210</v>
      </c>
      <c r="B53" t="s">
        <v>136</v>
      </c>
      <c r="C53" t="s">
        <v>152</v>
      </c>
      <c r="D53" t="s">
        <v>38</v>
      </c>
      <c r="E53">
        <v>1</v>
      </c>
      <c r="F53" t="s">
        <v>456</v>
      </c>
      <c r="G53">
        <v>0.69665999999999995</v>
      </c>
      <c r="H53">
        <v>0.78996999999999995</v>
      </c>
      <c r="I53">
        <v>1.78</v>
      </c>
      <c r="J53">
        <v>77</v>
      </c>
      <c r="K53">
        <v>0.87</v>
      </c>
      <c r="L53">
        <v>94</v>
      </c>
      <c r="M53">
        <v>81</v>
      </c>
      <c r="N53">
        <v>0.98821000000000003</v>
      </c>
      <c r="O53">
        <v>0.85321000000000002</v>
      </c>
      <c r="P53">
        <v>0.35</v>
      </c>
      <c r="Q53">
        <v>81</v>
      </c>
      <c r="R53">
        <v>1</v>
      </c>
      <c r="S53">
        <v>94</v>
      </c>
      <c r="T53">
        <v>81</v>
      </c>
      <c r="U53">
        <v>0.85314999999999996</v>
      </c>
      <c r="V53">
        <v>0.98814000000000002</v>
      </c>
      <c r="W53">
        <v>0.36</v>
      </c>
      <c r="X53">
        <v>81</v>
      </c>
      <c r="Y53">
        <v>1</v>
      </c>
      <c r="Z53">
        <v>94</v>
      </c>
      <c r="AA53">
        <v>81</v>
      </c>
    </row>
    <row r="54" spans="1:27" x14ac:dyDescent="0.2">
      <c r="A54" t="s">
        <v>211</v>
      </c>
      <c r="B54" t="s">
        <v>14</v>
      </c>
      <c r="C54" t="s">
        <v>212</v>
      </c>
      <c r="D54" t="s">
        <v>213</v>
      </c>
      <c r="E54">
        <v>1</v>
      </c>
      <c r="F54" t="s">
        <v>457</v>
      </c>
      <c r="G54">
        <v>0.48496</v>
      </c>
      <c r="H54">
        <v>0.48887999999999998</v>
      </c>
      <c r="I54">
        <v>2.78</v>
      </c>
      <c r="J54">
        <v>45</v>
      </c>
      <c r="K54">
        <v>0.64400000000000002</v>
      </c>
      <c r="L54">
        <v>50</v>
      </c>
      <c r="M54">
        <v>49</v>
      </c>
      <c r="N54">
        <v>0.69479999999999997</v>
      </c>
      <c r="O54">
        <v>0.68618000000000001</v>
      </c>
      <c r="P54">
        <v>1.72</v>
      </c>
      <c r="Q54">
        <v>48</v>
      </c>
      <c r="R54">
        <v>0.95799999999999996</v>
      </c>
      <c r="S54">
        <v>50</v>
      </c>
      <c r="T54">
        <v>49</v>
      </c>
      <c r="U54">
        <v>0.72382999999999997</v>
      </c>
      <c r="V54">
        <v>0.73401000000000005</v>
      </c>
      <c r="W54">
        <v>1.97</v>
      </c>
      <c r="X54">
        <v>49</v>
      </c>
      <c r="Y54">
        <v>1</v>
      </c>
      <c r="Z54">
        <v>50</v>
      </c>
      <c r="AA54">
        <v>49</v>
      </c>
    </row>
    <row r="55" spans="1:27" x14ac:dyDescent="0.2">
      <c r="A55" t="s">
        <v>215</v>
      </c>
      <c r="B55" t="s">
        <v>14</v>
      </c>
      <c r="C55" t="s">
        <v>216</v>
      </c>
      <c r="D55" t="s">
        <v>217</v>
      </c>
      <c r="E55">
        <v>1</v>
      </c>
      <c r="F55" t="s">
        <v>458</v>
      </c>
      <c r="G55">
        <v>0.28622999999999998</v>
      </c>
      <c r="H55">
        <v>0.28788999999999998</v>
      </c>
      <c r="I55">
        <v>4.7300000000000004</v>
      </c>
      <c r="J55">
        <v>58</v>
      </c>
      <c r="K55">
        <v>5.1999999999999998E-2</v>
      </c>
      <c r="L55">
        <v>114</v>
      </c>
      <c r="M55">
        <v>113</v>
      </c>
      <c r="N55">
        <v>0.31834000000000001</v>
      </c>
      <c r="O55">
        <v>0.31646000000000002</v>
      </c>
      <c r="P55">
        <v>4.79</v>
      </c>
      <c r="Q55">
        <v>64</v>
      </c>
      <c r="R55">
        <v>0.42199999999999999</v>
      </c>
      <c r="S55">
        <v>114</v>
      </c>
      <c r="T55">
        <v>113</v>
      </c>
      <c r="U55">
        <v>0.29838999999999999</v>
      </c>
      <c r="V55">
        <v>0.29998999999999998</v>
      </c>
      <c r="W55">
        <v>4.9000000000000004</v>
      </c>
      <c r="X55">
        <v>66</v>
      </c>
      <c r="Y55">
        <v>0.60599999999999998</v>
      </c>
      <c r="Z55">
        <v>114</v>
      </c>
      <c r="AA55">
        <v>113</v>
      </c>
    </row>
    <row r="56" spans="1:27" x14ac:dyDescent="0.2">
      <c r="A56" t="s">
        <v>223</v>
      </c>
      <c r="B56" t="s">
        <v>19</v>
      </c>
      <c r="C56" t="s">
        <v>224</v>
      </c>
      <c r="D56" t="s">
        <v>225</v>
      </c>
      <c r="E56">
        <v>1</v>
      </c>
      <c r="F56" t="s">
        <v>459</v>
      </c>
      <c r="G56">
        <v>0.35893999999999998</v>
      </c>
      <c r="H56">
        <v>0.36326000000000003</v>
      </c>
      <c r="I56">
        <v>4.16</v>
      </c>
      <c r="J56">
        <v>62</v>
      </c>
      <c r="K56">
        <v>6.5000000000000002E-2</v>
      </c>
      <c r="L56">
        <v>93</v>
      </c>
      <c r="M56">
        <v>91</v>
      </c>
      <c r="N56">
        <v>0.90851999999999999</v>
      </c>
      <c r="O56">
        <v>0.89009000000000005</v>
      </c>
      <c r="P56">
        <v>1.08</v>
      </c>
      <c r="Q56">
        <v>88</v>
      </c>
      <c r="R56">
        <v>0.92</v>
      </c>
      <c r="S56">
        <v>93</v>
      </c>
      <c r="T56">
        <v>91</v>
      </c>
      <c r="U56">
        <v>0.95067000000000002</v>
      </c>
      <c r="V56">
        <v>0.97087000000000001</v>
      </c>
      <c r="W56">
        <v>0.62</v>
      </c>
      <c r="X56">
        <v>91</v>
      </c>
      <c r="Y56">
        <v>0.98899999999999999</v>
      </c>
      <c r="Z56">
        <v>93</v>
      </c>
      <c r="AA56">
        <v>91</v>
      </c>
    </row>
    <row r="57" spans="1:27" x14ac:dyDescent="0.2">
      <c r="A57" t="s">
        <v>229</v>
      </c>
      <c r="B57" t="s">
        <v>230</v>
      </c>
      <c r="C57" t="s">
        <v>231</v>
      </c>
      <c r="D57" t="s">
        <v>232</v>
      </c>
      <c r="E57">
        <v>1</v>
      </c>
      <c r="F57" t="s">
        <v>460</v>
      </c>
      <c r="G57">
        <v>0.30623</v>
      </c>
      <c r="H57">
        <v>0.31320999999999999</v>
      </c>
      <c r="I57">
        <v>4.5999999999999996</v>
      </c>
      <c r="J57">
        <v>58</v>
      </c>
      <c r="K57">
        <v>5.1999999999999998E-2</v>
      </c>
      <c r="L57">
        <v>95</v>
      </c>
      <c r="M57">
        <v>91</v>
      </c>
      <c r="N57">
        <v>0.97763999999999995</v>
      </c>
      <c r="O57">
        <v>0.93752000000000002</v>
      </c>
      <c r="P57">
        <v>0.53</v>
      </c>
      <c r="Q57">
        <v>91</v>
      </c>
      <c r="R57">
        <v>1</v>
      </c>
      <c r="S57">
        <v>95</v>
      </c>
      <c r="T57">
        <v>91</v>
      </c>
      <c r="U57">
        <v>0.93725999999999998</v>
      </c>
      <c r="V57">
        <v>0.97743999999999998</v>
      </c>
      <c r="W57">
        <v>0.55000000000000004</v>
      </c>
      <c r="X57">
        <v>91</v>
      </c>
      <c r="Y57">
        <v>1</v>
      </c>
      <c r="Z57">
        <v>95</v>
      </c>
      <c r="AA57">
        <v>91</v>
      </c>
    </row>
    <row r="58" spans="1:27" x14ac:dyDescent="0.2">
      <c r="A58" t="s">
        <v>236</v>
      </c>
      <c r="B58" t="s">
        <v>19</v>
      </c>
      <c r="C58" t="s">
        <v>237</v>
      </c>
      <c r="D58" t="s">
        <v>238</v>
      </c>
      <c r="E58">
        <v>1</v>
      </c>
      <c r="F58" t="s">
        <v>461</v>
      </c>
      <c r="G58">
        <v>0.42559000000000002</v>
      </c>
      <c r="H58">
        <v>0.69559000000000004</v>
      </c>
      <c r="I58">
        <v>1.76</v>
      </c>
      <c r="J58">
        <v>25</v>
      </c>
      <c r="K58">
        <v>1</v>
      </c>
      <c r="L58">
        <v>51</v>
      </c>
      <c r="M58">
        <v>27</v>
      </c>
      <c r="N58">
        <v>0.60834999999999995</v>
      </c>
      <c r="O58">
        <v>0.37863000000000002</v>
      </c>
      <c r="P58">
        <v>1.54</v>
      </c>
      <c r="Q58">
        <v>22</v>
      </c>
      <c r="R58">
        <v>0.95499999999999996</v>
      </c>
      <c r="S58">
        <v>51</v>
      </c>
      <c r="T58">
        <v>27</v>
      </c>
      <c r="U58">
        <v>0.43175000000000002</v>
      </c>
      <c r="V58">
        <v>0.73995999999999995</v>
      </c>
      <c r="W58">
        <v>1.48</v>
      </c>
      <c r="X58">
        <v>24</v>
      </c>
      <c r="Y58">
        <v>1</v>
      </c>
      <c r="Z58">
        <v>51</v>
      </c>
      <c r="AA58">
        <v>27</v>
      </c>
    </row>
    <row r="59" spans="1:27" x14ac:dyDescent="0.2">
      <c r="A59" t="s">
        <v>239</v>
      </c>
      <c r="B59" t="s">
        <v>14</v>
      </c>
      <c r="C59" t="s">
        <v>240</v>
      </c>
      <c r="D59" t="s">
        <v>241</v>
      </c>
      <c r="E59">
        <v>1</v>
      </c>
      <c r="F59" t="s">
        <v>462</v>
      </c>
      <c r="G59">
        <v>0.27176</v>
      </c>
      <c r="H59">
        <v>0.32180999999999998</v>
      </c>
      <c r="I59">
        <v>6.07</v>
      </c>
      <c r="J59">
        <v>122</v>
      </c>
      <c r="K59">
        <v>7.3999999999999996E-2</v>
      </c>
      <c r="L59">
        <v>267</v>
      </c>
      <c r="M59">
        <v>209</v>
      </c>
      <c r="N59">
        <v>0.95801999999999998</v>
      </c>
      <c r="O59">
        <v>0.75583</v>
      </c>
      <c r="P59">
        <v>1.21</v>
      </c>
      <c r="Q59">
        <v>209</v>
      </c>
      <c r="R59">
        <v>0.99</v>
      </c>
      <c r="S59">
        <v>267</v>
      </c>
      <c r="T59">
        <v>209</v>
      </c>
      <c r="U59">
        <v>0.74895</v>
      </c>
      <c r="V59">
        <v>0.94703999999999999</v>
      </c>
      <c r="W59">
        <v>1.34</v>
      </c>
      <c r="X59">
        <v>209</v>
      </c>
      <c r="Y59">
        <v>0.97599999999999998</v>
      </c>
      <c r="Z59">
        <v>267</v>
      </c>
      <c r="AA59">
        <v>209</v>
      </c>
    </row>
    <row r="60" spans="1:27" x14ac:dyDescent="0.2">
      <c r="A60" t="s">
        <v>243</v>
      </c>
      <c r="B60" t="s">
        <v>26</v>
      </c>
      <c r="C60" t="s">
        <v>244</v>
      </c>
      <c r="D60" t="s">
        <v>241</v>
      </c>
      <c r="E60">
        <v>1</v>
      </c>
      <c r="F60" t="s">
        <v>462</v>
      </c>
      <c r="G60">
        <v>0.35814000000000001</v>
      </c>
      <c r="H60">
        <v>0.35814000000000001</v>
      </c>
      <c r="I60">
        <v>4.88</v>
      </c>
      <c r="J60">
        <v>104</v>
      </c>
      <c r="K60">
        <v>0.45200000000000001</v>
      </c>
      <c r="L60">
        <v>185</v>
      </c>
      <c r="M60">
        <v>185</v>
      </c>
      <c r="N60">
        <v>0.36558000000000002</v>
      </c>
      <c r="O60">
        <v>0.36558000000000002</v>
      </c>
      <c r="P60">
        <v>5.28</v>
      </c>
      <c r="Q60">
        <v>107</v>
      </c>
      <c r="R60">
        <v>0.53300000000000003</v>
      </c>
      <c r="S60">
        <v>185</v>
      </c>
      <c r="T60">
        <v>185</v>
      </c>
      <c r="U60">
        <v>0.44619999999999999</v>
      </c>
      <c r="V60">
        <v>0.44619999999999999</v>
      </c>
      <c r="W60">
        <v>3.1</v>
      </c>
      <c r="X60">
        <v>105</v>
      </c>
      <c r="Y60">
        <v>0.77100000000000002</v>
      </c>
      <c r="Z60">
        <v>185</v>
      </c>
      <c r="AA60">
        <v>185</v>
      </c>
    </row>
    <row r="61" spans="1:27" x14ac:dyDescent="0.2">
      <c r="A61" t="s">
        <v>253</v>
      </c>
      <c r="B61" t="s">
        <v>254</v>
      </c>
      <c r="C61" t="s">
        <v>255</v>
      </c>
      <c r="D61" t="s">
        <v>217</v>
      </c>
      <c r="E61">
        <v>1</v>
      </c>
      <c r="F61" t="s">
        <v>463</v>
      </c>
      <c r="G61">
        <v>0.48585</v>
      </c>
      <c r="H61">
        <v>0.48843999999999999</v>
      </c>
      <c r="I61">
        <v>6.13</v>
      </c>
      <c r="J61">
        <v>315</v>
      </c>
      <c r="K61">
        <v>0.41</v>
      </c>
      <c r="L61">
        <v>434</v>
      </c>
      <c r="M61">
        <v>431</v>
      </c>
      <c r="N61">
        <v>0.88719000000000003</v>
      </c>
      <c r="O61">
        <v>0.88153999999999999</v>
      </c>
      <c r="P61">
        <v>2.88</v>
      </c>
      <c r="Q61">
        <v>428</v>
      </c>
      <c r="R61">
        <v>0.96</v>
      </c>
      <c r="S61">
        <v>434</v>
      </c>
      <c r="T61">
        <v>431</v>
      </c>
      <c r="U61">
        <v>0.43325999999999998</v>
      </c>
      <c r="V61">
        <v>0.43578</v>
      </c>
      <c r="W61">
        <v>5.99</v>
      </c>
      <c r="X61">
        <v>262</v>
      </c>
      <c r="Y61">
        <v>0.46600000000000003</v>
      </c>
      <c r="Z61">
        <v>434</v>
      </c>
      <c r="AA61">
        <v>431</v>
      </c>
    </row>
    <row r="62" spans="1:27" x14ac:dyDescent="0.2">
      <c r="A62" t="s">
        <v>256</v>
      </c>
      <c r="B62" t="s">
        <v>26</v>
      </c>
      <c r="C62" t="s">
        <v>257</v>
      </c>
      <c r="D62" t="s">
        <v>217</v>
      </c>
      <c r="E62">
        <v>1</v>
      </c>
      <c r="F62" t="s">
        <v>464</v>
      </c>
      <c r="G62">
        <v>0.18726999999999999</v>
      </c>
      <c r="H62">
        <v>0.85223000000000004</v>
      </c>
      <c r="I62">
        <v>1.83</v>
      </c>
      <c r="J62">
        <v>111</v>
      </c>
      <c r="K62">
        <v>0.88300000000000001</v>
      </c>
      <c r="L62">
        <v>575</v>
      </c>
      <c r="M62">
        <v>121</v>
      </c>
      <c r="N62">
        <v>0.93171000000000004</v>
      </c>
      <c r="O62">
        <v>0.59677000000000002</v>
      </c>
      <c r="P62">
        <v>2.11</v>
      </c>
      <c r="Q62">
        <v>360</v>
      </c>
      <c r="R62">
        <v>0.93899999999999995</v>
      </c>
      <c r="S62">
        <v>575</v>
      </c>
      <c r="T62">
        <v>362</v>
      </c>
      <c r="U62">
        <v>0.16833000000000001</v>
      </c>
      <c r="V62">
        <v>0.74397999999999997</v>
      </c>
      <c r="W62">
        <v>2.02</v>
      </c>
      <c r="X62">
        <v>101</v>
      </c>
      <c r="Y62">
        <v>0.96</v>
      </c>
      <c r="Z62">
        <v>575</v>
      </c>
      <c r="AA62">
        <v>121</v>
      </c>
    </row>
    <row r="63" spans="1:27" x14ac:dyDescent="0.2">
      <c r="A63" t="s">
        <v>263</v>
      </c>
      <c r="B63" t="s">
        <v>264</v>
      </c>
      <c r="C63" t="s">
        <v>257</v>
      </c>
      <c r="D63" t="s">
        <v>217</v>
      </c>
      <c r="E63">
        <v>1</v>
      </c>
      <c r="F63" t="s">
        <v>465</v>
      </c>
      <c r="G63">
        <v>0.54564999999999997</v>
      </c>
      <c r="H63">
        <v>0.75643000000000005</v>
      </c>
      <c r="I63">
        <v>4.29</v>
      </c>
      <c r="J63">
        <v>378</v>
      </c>
      <c r="K63">
        <v>0.76500000000000001</v>
      </c>
      <c r="L63">
        <v>575</v>
      </c>
      <c r="M63">
        <v>394</v>
      </c>
      <c r="N63">
        <v>0.90281</v>
      </c>
      <c r="O63">
        <v>0.63166</v>
      </c>
      <c r="P63">
        <v>2.4500000000000002</v>
      </c>
      <c r="Q63">
        <v>389</v>
      </c>
      <c r="R63">
        <v>0.95899999999999996</v>
      </c>
      <c r="S63">
        <v>575</v>
      </c>
      <c r="T63">
        <v>394</v>
      </c>
      <c r="U63">
        <v>0.27605000000000002</v>
      </c>
      <c r="V63">
        <v>0.36619000000000002</v>
      </c>
      <c r="W63">
        <v>6.82</v>
      </c>
      <c r="X63">
        <v>239</v>
      </c>
      <c r="Y63">
        <v>0.109</v>
      </c>
      <c r="Z63">
        <v>575</v>
      </c>
      <c r="AA63">
        <v>394</v>
      </c>
    </row>
    <row r="64" spans="1:27" x14ac:dyDescent="0.2">
      <c r="A64" t="s">
        <v>267</v>
      </c>
      <c r="B64" t="s">
        <v>19</v>
      </c>
      <c r="C64" t="s">
        <v>257</v>
      </c>
      <c r="D64" t="s">
        <v>217</v>
      </c>
      <c r="E64">
        <v>1</v>
      </c>
      <c r="F64" t="s">
        <v>466</v>
      </c>
      <c r="G64">
        <v>0.38114999999999999</v>
      </c>
      <c r="H64">
        <v>0.42748999999999998</v>
      </c>
      <c r="I64">
        <v>6.1</v>
      </c>
      <c r="J64">
        <v>250</v>
      </c>
      <c r="K64">
        <v>0.46</v>
      </c>
      <c r="L64">
        <v>441</v>
      </c>
      <c r="M64">
        <v>379</v>
      </c>
      <c r="N64">
        <v>0.91452</v>
      </c>
      <c r="O64">
        <v>0.79276000000000002</v>
      </c>
      <c r="P64">
        <v>2.48</v>
      </c>
      <c r="Q64">
        <v>379</v>
      </c>
      <c r="R64">
        <v>0.97899999999999998</v>
      </c>
      <c r="S64">
        <v>441</v>
      </c>
      <c r="T64">
        <v>379</v>
      </c>
      <c r="U64">
        <v>0.38766</v>
      </c>
      <c r="V64">
        <v>0.44</v>
      </c>
      <c r="W64">
        <v>5.39</v>
      </c>
      <c r="X64">
        <v>228</v>
      </c>
      <c r="Y64">
        <v>0.48699999999999999</v>
      </c>
      <c r="Z64">
        <v>441</v>
      </c>
      <c r="AA64">
        <v>379</v>
      </c>
    </row>
    <row r="65" spans="1:27" x14ac:dyDescent="0.2">
      <c r="A65" t="s">
        <v>268</v>
      </c>
      <c r="B65" t="s">
        <v>14</v>
      </c>
      <c r="C65" t="s">
        <v>269</v>
      </c>
      <c r="D65" t="s">
        <v>238</v>
      </c>
      <c r="E65">
        <v>1</v>
      </c>
      <c r="F65" t="s">
        <v>467</v>
      </c>
      <c r="G65">
        <v>0.75200999999999996</v>
      </c>
      <c r="H65">
        <v>0.75200999999999996</v>
      </c>
      <c r="I65">
        <v>1.76</v>
      </c>
      <c r="J65">
        <v>56</v>
      </c>
      <c r="K65">
        <v>1</v>
      </c>
      <c r="L65">
        <v>60</v>
      </c>
      <c r="M65">
        <v>60</v>
      </c>
      <c r="N65">
        <v>0.83352999999999999</v>
      </c>
      <c r="O65">
        <v>0.83352999999999999</v>
      </c>
      <c r="P65">
        <v>1.73</v>
      </c>
      <c r="Q65">
        <v>59</v>
      </c>
      <c r="R65">
        <v>1</v>
      </c>
      <c r="S65">
        <v>60</v>
      </c>
      <c r="T65">
        <v>60</v>
      </c>
      <c r="U65">
        <v>0.91169</v>
      </c>
      <c r="V65">
        <v>0.91169</v>
      </c>
      <c r="W65">
        <v>1.27</v>
      </c>
      <c r="X65">
        <v>60</v>
      </c>
      <c r="Y65">
        <v>1</v>
      </c>
      <c r="Z65">
        <v>60</v>
      </c>
      <c r="AA65">
        <v>60</v>
      </c>
    </row>
    <row r="66" spans="1:27" x14ac:dyDescent="0.2">
      <c r="A66" t="s">
        <v>271</v>
      </c>
      <c r="B66" t="s">
        <v>14</v>
      </c>
      <c r="C66" t="s">
        <v>269</v>
      </c>
      <c r="D66" t="s">
        <v>238</v>
      </c>
      <c r="E66">
        <v>1</v>
      </c>
      <c r="F66" t="s">
        <v>467</v>
      </c>
      <c r="G66">
        <v>0.61499999999999999</v>
      </c>
      <c r="H66">
        <v>0.61499999999999999</v>
      </c>
      <c r="I66">
        <v>2.2200000000000002</v>
      </c>
      <c r="J66">
        <v>67</v>
      </c>
      <c r="K66">
        <v>0.97</v>
      </c>
      <c r="L66">
        <v>89</v>
      </c>
      <c r="M66">
        <v>89</v>
      </c>
      <c r="N66">
        <v>0.78783999999999998</v>
      </c>
      <c r="O66">
        <v>0.78783999999999998</v>
      </c>
      <c r="P66">
        <v>1.59</v>
      </c>
      <c r="Q66">
        <v>79</v>
      </c>
      <c r="R66">
        <v>1</v>
      </c>
      <c r="S66">
        <v>89</v>
      </c>
      <c r="T66">
        <v>89</v>
      </c>
      <c r="U66">
        <v>0.80730000000000002</v>
      </c>
      <c r="V66">
        <v>0.80730000000000002</v>
      </c>
      <c r="W66">
        <v>1.21</v>
      </c>
      <c r="X66">
        <v>77</v>
      </c>
      <c r="Y66">
        <v>1</v>
      </c>
      <c r="Z66">
        <v>89</v>
      </c>
      <c r="AA66">
        <v>89</v>
      </c>
    </row>
    <row r="67" spans="1:27" x14ac:dyDescent="0.2">
      <c r="A67" t="s">
        <v>272</v>
      </c>
      <c r="B67" t="s">
        <v>14</v>
      </c>
      <c r="C67" t="s">
        <v>269</v>
      </c>
      <c r="D67" t="s">
        <v>238</v>
      </c>
      <c r="E67">
        <v>1</v>
      </c>
      <c r="F67" t="s">
        <v>467</v>
      </c>
      <c r="G67">
        <v>0.31375999999999998</v>
      </c>
      <c r="H67">
        <v>0.32385000000000003</v>
      </c>
      <c r="I67">
        <v>3.43</v>
      </c>
      <c r="J67">
        <v>44</v>
      </c>
      <c r="K67">
        <v>0.61399999999999999</v>
      </c>
      <c r="L67">
        <v>95</v>
      </c>
      <c r="M67">
        <v>91</v>
      </c>
      <c r="N67">
        <v>0.68037000000000003</v>
      </c>
      <c r="O67">
        <v>0.65578999999999998</v>
      </c>
      <c r="P67">
        <v>2.0699999999999998</v>
      </c>
      <c r="Q67">
        <v>74</v>
      </c>
      <c r="R67">
        <v>0.94599999999999995</v>
      </c>
      <c r="S67">
        <v>95</v>
      </c>
      <c r="T67">
        <v>91</v>
      </c>
      <c r="U67">
        <v>0.66210000000000002</v>
      </c>
      <c r="V67">
        <v>0.68725999999999998</v>
      </c>
      <c r="W67">
        <v>2.06</v>
      </c>
      <c r="X67">
        <v>74</v>
      </c>
      <c r="Y67">
        <v>0.94599999999999995</v>
      </c>
      <c r="Z67">
        <v>95</v>
      </c>
      <c r="AA67">
        <v>91</v>
      </c>
    </row>
    <row r="68" spans="1:27" x14ac:dyDescent="0.2">
      <c r="A68" t="s">
        <v>273</v>
      </c>
      <c r="B68" t="s">
        <v>82</v>
      </c>
      <c r="C68" t="s">
        <v>274</v>
      </c>
      <c r="D68" t="s">
        <v>275</v>
      </c>
      <c r="E68">
        <v>1</v>
      </c>
      <c r="F68" t="s">
        <v>468</v>
      </c>
      <c r="G68">
        <v>0.74278999999999995</v>
      </c>
      <c r="H68">
        <v>0.94623000000000002</v>
      </c>
      <c r="I68">
        <v>1.39</v>
      </c>
      <c r="J68">
        <v>112</v>
      </c>
      <c r="K68">
        <v>0.85699999999999998</v>
      </c>
      <c r="L68">
        <v>144</v>
      </c>
      <c r="M68">
        <v>112</v>
      </c>
      <c r="N68">
        <v>0.94513000000000003</v>
      </c>
      <c r="O68">
        <v>0.74214000000000002</v>
      </c>
      <c r="P68">
        <v>1.36</v>
      </c>
      <c r="Q68">
        <v>112</v>
      </c>
      <c r="R68">
        <v>0.92</v>
      </c>
      <c r="S68">
        <v>144</v>
      </c>
      <c r="T68">
        <v>112</v>
      </c>
      <c r="U68">
        <v>0.73029999999999995</v>
      </c>
      <c r="V68">
        <v>0.92734000000000005</v>
      </c>
      <c r="W68">
        <v>1.53</v>
      </c>
      <c r="X68">
        <v>112</v>
      </c>
      <c r="Y68">
        <v>0.86599999999999999</v>
      </c>
      <c r="Z68">
        <v>144</v>
      </c>
      <c r="AA68">
        <v>112</v>
      </c>
    </row>
    <row r="69" spans="1:27" x14ac:dyDescent="0.2">
      <c r="A69" t="s">
        <v>277</v>
      </c>
      <c r="B69" t="s">
        <v>14</v>
      </c>
      <c r="C69" t="s">
        <v>278</v>
      </c>
      <c r="D69" t="s">
        <v>279</v>
      </c>
      <c r="E69">
        <v>1</v>
      </c>
      <c r="F69" t="s">
        <v>469</v>
      </c>
      <c r="G69">
        <v>0.42716999999999999</v>
      </c>
      <c r="H69">
        <v>0.66642999999999997</v>
      </c>
      <c r="I69">
        <v>2.83</v>
      </c>
      <c r="J69">
        <v>83</v>
      </c>
      <c r="K69">
        <v>0.81899999999999995</v>
      </c>
      <c r="L69">
        <v>155</v>
      </c>
      <c r="M69">
        <v>89</v>
      </c>
      <c r="N69">
        <v>0.58237000000000005</v>
      </c>
      <c r="O69">
        <v>0.37636999999999998</v>
      </c>
      <c r="P69">
        <v>2.87</v>
      </c>
      <c r="Q69">
        <v>74</v>
      </c>
      <c r="R69">
        <v>0.85099999999999998</v>
      </c>
      <c r="S69">
        <v>155</v>
      </c>
      <c r="T69">
        <v>89</v>
      </c>
      <c r="U69">
        <v>0.42734</v>
      </c>
      <c r="V69">
        <v>0.70189000000000001</v>
      </c>
      <c r="W69">
        <v>2.02</v>
      </c>
      <c r="X69">
        <v>74</v>
      </c>
      <c r="Y69">
        <v>1</v>
      </c>
      <c r="Z69">
        <v>155</v>
      </c>
      <c r="AA69">
        <v>89</v>
      </c>
    </row>
    <row r="70" spans="1:27" x14ac:dyDescent="0.2">
      <c r="A70" t="s">
        <v>281</v>
      </c>
      <c r="B70" t="s">
        <v>35</v>
      </c>
      <c r="C70" t="s">
        <v>282</v>
      </c>
      <c r="D70" t="s">
        <v>59</v>
      </c>
      <c r="E70">
        <v>1</v>
      </c>
      <c r="F70" t="s">
        <v>470</v>
      </c>
      <c r="G70">
        <v>0.85694999999999999</v>
      </c>
      <c r="H70">
        <v>0.90388000000000002</v>
      </c>
      <c r="I70">
        <v>1.6</v>
      </c>
      <c r="J70">
        <v>135</v>
      </c>
      <c r="K70">
        <v>0.92600000000000005</v>
      </c>
      <c r="L70">
        <v>148</v>
      </c>
      <c r="M70">
        <v>140</v>
      </c>
      <c r="U70">
        <v>0.88478999999999997</v>
      </c>
      <c r="V70">
        <v>0.93327000000000004</v>
      </c>
      <c r="W70">
        <v>1.32</v>
      </c>
      <c r="X70">
        <v>138</v>
      </c>
      <c r="Y70">
        <v>0.94199999999999995</v>
      </c>
      <c r="Z70">
        <v>148</v>
      </c>
      <c r="AA70">
        <v>140</v>
      </c>
    </row>
    <row r="71" spans="1:27" x14ac:dyDescent="0.2">
      <c r="A71" t="s">
        <v>284</v>
      </c>
      <c r="B71" t="s">
        <v>26</v>
      </c>
      <c r="C71" t="s">
        <v>285</v>
      </c>
      <c r="D71" t="s">
        <v>59</v>
      </c>
      <c r="E71">
        <v>1</v>
      </c>
      <c r="F71" t="s">
        <v>470</v>
      </c>
      <c r="G71">
        <v>0.83274000000000004</v>
      </c>
      <c r="H71">
        <v>0.92283999999999999</v>
      </c>
      <c r="I71">
        <v>1.34</v>
      </c>
      <c r="J71">
        <v>130</v>
      </c>
      <c r="K71">
        <v>0.91500000000000004</v>
      </c>
      <c r="L71">
        <v>148</v>
      </c>
      <c r="M71">
        <v>133</v>
      </c>
      <c r="U71">
        <v>0.84792999999999996</v>
      </c>
      <c r="V71">
        <v>0.94021999999999994</v>
      </c>
      <c r="W71">
        <v>1.1599999999999999</v>
      </c>
      <c r="X71">
        <v>131</v>
      </c>
      <c r="Y71">
        <v>0.95399999999999996</v>
      </c>
      <c r="Z71">
        <v>148</v>
      </c>
      <c r="AA71">
        <v>133</v>
      </c>
    </row>
    <row r="72" spans="1:27" x14ac:dyDescent="0.2">
      <c r="A72" t="s">
        <v>286</v>
      </c>
      <c r="B72" t="s">
        <v>14</v>
      </c>
      <c r="C72" t="s">
        <v>287</v>
      </c>
      <c r="D72" t="s">
        <v>241</v>
      </c>
      <c r="E72">
        <v>1</v>
      </c>
      <c r="F72" t="s">
        <v>471</v>
      </c>
      <c r="G72">
        <v>0.26844000000000001</v>
      </c>
      <c r="H72">
        <v>0.27837000000000001</v>
      </c>
      <c r="I72">
        <v>4.3899999999999997</v>
      </c>
      <c r="J72">
        <v>48</v>
      </c>
      <c r="K72">
        <v>0.104</v>
      </c>
      <c r="L72">
        <v>95</v>
      </c>
      <c r="M72">
        <v>89</v>
      </c>
      <c r="N72">
        <v>0.79247999999999996</v>
      </c>
      <c r="O72">
        <v>0.74892000000000003</v>
      </c>
      <c r="P72">
        <v>1.99</v>
      </c>
      <c r="Q72">
        <v>84</v>
      </c>
      <c r="R72">
        <v>0.83299999999999996</v>
      </c>
      <c r="S72">
        <v>95</v>
      </c>
      <c r="T72">
        <v>89</v>
      </c>
      <c r="U72">
        <v>0.35630000000000001</v>
      </c>
      <c r="V72">
        <v>0.37175999999999998</v>
      </c>
      <c r="W72">
        <v>3.94</v>
      </c>
      <c r="X72">
        <v>58</v>
      </c>
      <c r="Y72">
        <v>0.13800000000000001</v>
      </c>
      <c r="Z72">
        <v>95</v>
      </c>
      <c r="AA72">
        <v>89</v>
      </c>
    </row>
    <row r="73" spans="1:27" x14ac:dyDescent="0.2">
      <c r="A73" t="s">
        <v>289</v>
      </c>
      <c r="B73" t="s">
        <v>26</v>
      </c>
      <c r="C73" t="s">
        <v>290</v>
      </c>
      <c r="D73" t="s">
        <v>241</v>
      </c>
      <c r="E73">
        <v>1</v>
      </c>
      <c r="F73" t="s">
        <v>471</v>
      </c>
      <c r="G73">
        <v>0.37218000000000001</v>
      </c>
      <c r="H73">
        <v>0.37369000000000002</v>
      </c>
      <c r="I73">
        <v>5.3</v>
      </c>
      <c r="J73">
        <v>109</v>
      </c>
      <c r="K73">
        <v>0.67900000000000005</v>
      </c>
      <c r="L73">
        <v>170</v>
      </c>
      <c r="M73">
        <v>169</v>
      </c>
      <c r="N73">
        <v>0.98340000000000005</v>
      </c>
      <c r="O73">
        <v>0.97770000000000001</v>
      </c>
      <c r="P73">
        <v>0.65</v>
      </c>
      <c r="Q73">
        <v>169</v>
      </c>
      <c r="R73">
        <v>1</v>
      </c>
      <c r="S73">
        <v>170</v>
      </c>
      <c r="T73">
        <v>169</v>
      </c>
      <c r="U73">
        <v>0.98358999999999996</v>
      </c>
      <c r="V73">
        <v>0.98934999999999995</v>
      </c>
      <c r="W73">
        <v>0.51</v>
      </c>
      <c r="X73">
        <v>169</v>
      </c>
      <c r="Y73">
        <v>1</v>
      </c>
      <c r="Z73">
        <v>170</v>
      </c>
      <c r="AA73">
        <v>169</v>
      </c>
    </row>
    <row r="74" spans="1:27" x14ac:dyDescent="0.2">
      <c r="A74" t="s">
        <v>292</v>
      </c>
      <c r="B74" t="s">
        <v>26</v>
      </c>
      <c r="C74" t="s">
        <v>293</v>
      </c>
      <c r="D74" t="s">
        <v>294</v>
      </c>
      <c r="E74">
        <v>1</v>
      </c>
      <c r="F74" t="s">
        <v>472</v>
      </c>
      <c r="G74">
        <v>0.34482000000000002</v>
      </c>
      <c r="H74">
        <v>0.34482000000000002</v>
      </c>
      <c r="I74">
        <v>4.1500000000000004</v>
      </c>
      <c r="J74">
        <v>56</v>
      </c>
      <c r="K74">
        <v>3.5999999999999997E-2</v>
      </c>
      <c r="L74">
        <v>93</v>
      </c>
      <c r="M74">
        <v>93</v>
      </c>
      <c r="N74">
        <v>0.89117999999999997</v>
      </c>
      <c r="O74">
        <v>0.89117999999999997</v>
      </c>
      <c r="P74">
        <v>1.44</v>
      </c>
      <c r="Q74">
        <v>93</v>
      </c>
      <c r="R74">
        <v>1</v>
      </c>
      <c r="S74">
        <v>93</v>
      </c>
      <c r="T74">
        <v>93</v>
      </c>
      <c r="U74">
        <v>0.90854999999999997</v>
      </c>
      <c r="V74">
        <v>0.90854999999999997</v>
      </c>
      <c r="W74">
        <v>1.67</v>
      </c>
      <c r="X74">
        <v>93</v>
      </c>
      <c r="Y74">
        <v>1</v>
      </c>
      <c r="Z74">
        <v>93</v>
      </c>
      <c r="AA74">
        <v>93</v>
      </c>
    </row>
    <row r="75" spans="1:27" x14ac:dyDescent="0.2">
      <c r="A75" t="s">
        <v>296</v>
      </c>
      <c r="B75" t="s">
        <v>14</v>
      </c>
      <c r="C75" t="s">
        <v>297</v>
      </c>
      <c r="D75" t="s">
        <v>298</v>
      </c>
      <c r="E75">
        <v>1</v>
      </c>
      <c r="F75" t="s">
        <v>472</v>
      </c>
      <c r="G75">
        <v>0.82735000000000003</v>
      </c>
      <c r="H75">
        <v>0.90222000000000002</v>
      </c>
      <c r="I75">
        <v>1.4</v>
      </c>
      <c r="J75">
        <v>91</v>
      </c>
      <c r="K75">
        <v>1</v>
      </c>
      <c r="L75">
        <v>104</v>
      </c>
      <c r="M75">
        <v>95</v>
      </c>
      <c r="N75">
        <v>0.94277</v>
      </c>
      <c r="O75">
        <v>0.86389000000000005</v>
      </c>
      <c r="P75">
        <v>1.1499999999999999</v>
      </c>
      <c r="Q75">
        <v>94</v>
      </c>
      <c r="R75">
        <v>0.98899999999999999</v>
      </c>
      <c r="S75">
        <v>104</v>
      </c>
      <c r="T75">
        <v>95</v>
      </c>
      <c r="U75">
        <v>0.84353</v>
      </c>
      <c r="V75">
        <v>0.92079</v>
      </c>
      <c r="W75">
        <v>0.95</v>
      </c>
      <c r="X75">
        <v>91</v>
      </c>
      <c r="Y75">
        <v>0.98899999999999999</v>
      </c>
      <c r="Z75">
        <v>104</v>
      </c>
      <c r="AA75">
        <v>95</v>
      </c>
    </row>
    <row r="76" spans="1:27" x14ac:dyDescent="0.2">
      <c r="A76" t="s">
        <v>299</v>
      </c>
      <c r="B76" t="s">
        <v>26</v>
      </c>
      <c r="C76" t="s">
        <v>300</v>
      </c>
      <c r="D76" t="s">
        <v>294</v>
      </c>
      <c r="E76">
        <v>1</v>
      </c>
      <c r="F76" t="s">
        <v>472</v>
      </c>
      <c r="G76">
        <v>0.66251000000000004</v>
      </c>
      <c r="H76">
        <v>0.69735000000000003</v>
      </c>
      <c r="I76">
        <v>2.87</v>
      </c>
      <c r="J76">
        <v>85</v>
      </c>
      <c r="K76">
        <v>0.72899999999999998</v>
      </c>
      <c r="L76">
        <v>98</v>
      </c>
      <c r="M76">
        <v>92</v>
      </c>
      <c r="N76">
        <v>0.58387</v>
      </c>
      <c r="O76">
        <v>0.55489999999999995</v>
      </c>
      <c r="P76">
        <v>2.77</v>
      </c>
      <c r="Q76">
        <v>71</v>
      </c>
      <c r="R76">
        <v>0.67600000000000005</v>
      </c>
      <c r="S76">
        <v>98</v>
      </c>
      <c r="T76">
        <v>92</v>
      </c>
      <c r="U76">
        <v>0.39112000000000002</v>
      </c>
      <c r="V76">
        <v>0.41082999999999997</v>
      </c>
      <c r="W76">
        <v>3.39</v>
      </c>
      <c r="X76">
        <v>54</v>
      </c>
      <c r="Y76">
        <v>0.72199999999999998</v>
      </c>
      <c r="Z76">
        <v>98</v>
      </c>
      <c r="AA76">
        <v>92</v>
      </c>
    </row>
    <row r="77" spans="1:27" x14ac:dyDescent="0.2">
      <c r="A77" t="s">
        <v>301</v>
      </c>
      <c r="B77" t="s">
        <v>14</v>
      </c>
      <c r="C77" t="s">
        <v>302</v>
      </c>
      <c r="D77" t="s">
        <v>294</v>
      </c>
      <c r="E77">
        <v>1</v>
      </c>
      <c r="F77" t="s">
        <v>472</v>
      </c>
      <c r="G77">
        <v>0.71560999999999997</v>
      </c>
      <c r="H77">
        <v>0.74746999999999997</v>
      </c>
      <c r="I77">
        <v>2.33</v>
      </c>
      <c r="J77">
        <v>87</v>
      </c>
      <c r="K77">
        <v>0.90800000000000003</v>
      </c>
      <c r="L77">
        <v>99</v>
      </c>
      <c r="M77">
        <v>94</v>
      </c>
      <c r="N77">
        <v>0.62868999999999997</v>
      </c>
      <c r="O77">
        <v>0.60185</v>
      </c>
      <c r="P77">
        <v>2.14</v>
      </c>
      <c r="Q77">
        <v>72</v>
      </c>
      <c r="R77">
        <v>0.75</v>
      </c>
      <c r="S77">
        <v>99</v>
      </c>
      <c r="T77">
        <v>94</v>
      </c>
      <c r="U77">
        <v>0.31275999999999998</v>
      </c>
      <c r="V77">
        <v>0.32583000000000001</v>
      </c>
      <c r="W77">
        <v>3.27</v>
      </c>
      <c r="X77">
        <v>43</v>
      </c>
      <c r="Y77">
        <v>0.58099999999999996</v>
      </c>
      <c r="Z77">
        <v>99</v>
      </c>
      <c r="AA77">
        <v>94</v>
      </c>
    </row>
    <row r="78" spans="1:27" x14ac:dyDescent="0.2">
      <c r="A78" t="s">
        <v>303</v>
      </c>
      <c r="B78" t="s">
        <v>26</v>
      </c>
      <c r="C78" t="s">
        <v>304</v>
      </c>
      <c r="D78" t="s">
        <v>305</v>
      </c>
      <c r="E78">
        <v>1</v>
      </c>
      <c r="F78" t="s">
        <v>472</v>
      </c>
      <c r="G78">
        <v>0.36121999999999999</v>
      </c>
      <c r="H78">
        <v>0.36121999999999999</v>
      </c>
      <c r="I78">
        <v>4.47</v>
      </c>
      <c r="J78">
        <v>61</v>
      </c>
      <c r="K78">
        <v>0.23</v>
      </c>
      <c r="L78">
        <v>92</v>
      </c>
      <c r="M78">
        <v>92</v>
      </c>
      <c r="N78">
        <v>0.93394999999999995</v>
      </c>
      <c r="O78">
        <v>0.93394999999999995</v>
      </c>
      <c r="P78">
        <v>1.03</v>
      </c>
      <c r="Q78">
        <v>92</v>
      </c>
      <c r="R78">
        <v>1</v>
      </c>
      <c r="S78">
        <v>92</v>
      </c>
      <c r="T78">
        <v>92</v>
      </c>
      <c r="U78">
        <v>0.91679999999999995</v>
      </c>
      <c r="V78">
        <v>0.91679999999999995</v>
      </c>
      <c r="W78">
        <v>1.86</v>
      </c>
      <c r="X78">
        <v>92</v>
      </c>
      <c r="Y78">
        <v>1</v>
      </c>
      <c r="Z78">
        <v>92</v>
      </c>
      <c r="AA78">
        <v>92</v>
      </c>
    </row>
    <row r="79" spans="1:27" x14ac:dyDescent="0.2">
      <c r="A79" t="s">
        <v>309</v>
      </c>
      <c r="B79" t="s">
        <v>19</v>
      </c>
      <c r="C79" t="s">
        <v>310</v>
      </c>
      <c r="D79" t="s">
        <v>238</v>
      </c>
      <c r="E79">
        <v>1</v>
      </c>
      <c r="F79" t="s">
        <v>473</v>
      </c>
      <c r="G79">
        <v>0.42888999999999999</v>
      </c>
      <c r="H79">
        <v>0.52705999999999997</v>
      </c>
      <c r="I79">
        <v>3.54</v>
      </c>
      <c r="J79">
        <v>84</v>
      </c>
      <c r="K79">
        <v>0.69</v>
      </c>
      <c r="L79">
        <v>145</v>
      </c>
      <c r="M79">
        <v>112</v>
      </c>
      <c r="N79">
        <v>0.66342000000000001</v>
      </c>
      <c r="O79">
        <v>0.52981999999999996</v>
      </c>
      <c r="P79">
        <v>2.96</v>
      </c>
      <c r="Q79">
        <v>93</v>
      </c>
      <c r="R79">
        <v>0.84899999999999998</v>
      </c>
      <c r="S79">
        <v>145</v>
      </c>
      <c r="T79">
        <v>112</v>
      </c>
      <c r="U79">
        <v>0.59228999999999998</v>
      </c>
      <c r="V79">
        <v>0.75524999999999998</v>
      </c>
      <c r="W79">
        <v>2.16</v>
      </c>
      <c r="X79">
        <v>94</v>
      </c>
      <c r="Y79">
        <v>0.93600000000000005</v>
      </c>
      <c r="Z79">
        <v>145</v>
      </c>
      <c r="AA79">
        <v>112</v>
      </c>
    </row>
    <row r="80" spans="1:27" x14ac:dyDescent="0.2">
      <c r="A80" t="s">
        <v>311</v>
      </c>
      <c r="B80" t="s">
        <v>26</v>
      </c>
      <c r="C80" t="s">
        <v>312</v>
      </c>
      <c r="D80" t="s">
        <v>217</v>
      </c>
      <c r="E80">
        <v>1</v>
      </c>
      <c r="F80" t="s">
        <v>474</v>
      </c>
      <c r="G80">
        <v>0.34650999999999998</v>
      </c>
      <c r="H80">
        <v>0.35709000000000002</v>
      </c>
      <c r="I80">
        <v>4.53</v>
      </c>
      <c r="J80">
        <v>68</v>
      </c>
      <c r="K80">
        <v>0.441</v>
      </c>
      <c r="L80">
        <v>120</v>
      </c>
      <c r="M80">
        <v>115</v>
      </c>
      <c r="N80">
        <v>0.65810999999999997</v>
      </c>
      <c r="O80">
        <v>0.63702000000000003</v>
      </c>
      <c r="P80">
        <v>3.2</v>
      </c>
      <c r="Q80">
        <v>108</v>
      </c>
      <c r="R80">
        <v>0.89800000000000002</v>
      </c>
      <c r="S80">
        <v>120</v>
      </c>
      <c r="T80">
        <v>115</v>
      </c>
      <c r="U80">
        <v>0.65234999999999999</v>
      </c>
      <c r="V80">
        <v>0.67356000000000005</v>
      </c>
      <c r="W80">
        <v>2.97</v>
      </c>
      <c r="X80">
        <v>108</v>
      </c>
      <c r="Y80">
        <v>0.78700000000000003</v>
      </c>
      <c r="Z80">
        <v>120</v>
      </c>
      <c r="AA80">
        <v>115</v>
      </c>
    </row>
    <row r="81" spans="1:27" x14ac:dyDescent="0.2">
      <c r="A81" t="s">
        <v>314</v>
      </c>
      <c r="B81" t="s">
        <v>14</v>
      </c>
      <c r="C81" t="s">
        <v>315</v>
      </c>
      <c r="D81" t="s">
        <v>16</v>
      </c>
      <c r="E81">
        <v>1</v>
      </c>
      <c r="F81" t="s">
        <v>475</v>
      </c>
      <c r="G81">
        <v>0.23483000000000001</v>
      </c>
      <c r="H81">
        <v>0.28069</v>
      </c>
      <c r="I81">
        <v>5.43</v>
      </c>
      <c r="J81">
        <v>91</v>
      </c>
      <c r="K81">
        <v>5.5E-2</v>
      </c>
      <c r="L81">
        <v>239</v>
      </c>
      <c r="M81">
        <v>185</v>
      </c>
      <c r="N81">
        <v>0.53358000000000005</v>
      </c>
      <c r="O81">
        <v>0.42877999999999999</v>
      </c>
      <c r="P81">
        <v>3.82</v>
      </c>
      <c r="Q81">
        <v>130</v>
      </c>
      <c r="R81">
        <v>0.53800000000000003</v>
      </c>
      <c r="S81">
        <v>239</v>
      </c>
      <c r="T81">
        <v>185</v>
      </c>
      <c r="U81">
        <v>0.4325</v>
      </c>
      <c r="V81">
        <v>0.53554999999999997</v>
      </c>
      <c r="W81">
        <v>4.34</v>
      </c>
      <c r="X81">
        <v>137</v>
      </c>
      <c r="Y81">
        <v>0.73</v>
      </c>
      <c r="Z81">
        <v>239</v>
      </c>
      <c r="AA81">
        <v>185</v>
      </c>
    </row>
    <row r="82" spans="1:27" x14ac:dyDescent="0.2">
      <c r="A82" t="s">
        <v>321</v>
      </c>
      <c r="B82" t="s">
        <v>19</v>
      </c>
      <c r="C82" t="s">
        <v>322</v>
      </c>
      <c r="D82" t="s">
        <v>323</v>
      </c>
      <c r="E82">
        <v>1</v>
      </c>
      <c r="F82" t="s">
        <v>476</v>
      </c>
      <c r="G82">
        <v>0.50146999999999997</v>
      </c>
      <c r="H82">
        <v>0.58874000000000004</v>
      </c>
      <c r="I82">
        <v>3.27</v>
      </c>
      <c r="J82">
        <v>86</v>
      </c>
      <c r="K82">
        <v>0.54700000000000004</v>
      </c>
      <c r="L82">
        <v>122</v>
      </c>
      <c r="M82">
        <v>98</v>
      </c>
      <c r="N82">
        <v>0.91274</v>
      </c>
      <c r="O82">
        <v>0.74292000000000002</v>
      </c>
      <c r="P82">
        <v>1.1499999999999999</v>
      </c>
      <c r="Q82">
        <v>96</v>
      </c>
      <c r="R82">
        <v>1</v>
      </c>
      <c r="S82">
        <v>122</v>
      </c>
      <c r="T82">
        <v>98</v>
      </c>
      <c r="U82">
        <v>0.74682000000000004</v>
      </c>
      <c r="V82">
        <v>0.91864999999999997</v>
      </c>
      <c r="W82">
        <v>1.1100000000000001</v>
      </c>
      <c r="X82">
        <v>96</v>
      </c>
      <c r="Y82">
        <v>1</v>
      </c>
      <c r="Z82">
        <v>122</v>
      </c>
      <c r="AA82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A856-34C3-4D46-96F0-71529A4A9495}">
  <dimension ref="A1:AH109"/>
  <sheetViews>
    <sheetView topLeftCell="A4" zoomScale="84" zoomScaleNormal="100" workbookViewId="0">
      <selection activeCell="H8" sqref="H8"/>
    </sheetView>
  </sheetViews>
  <sheetFormatPr baseColWidth="10" defaultRowHeight="16" x14ac:dyDescent="0.2"/>
  <cols>
    <col min="1" max="1" width="53.5" customWidth="1"/>
    <col min="3" max="3" width="42.5" customWidth="1"/>
    <col min="4" max="4" width="33.33203125" bestFit="1" customWidth="1"/>
    <col min="5" max="5" width="30.1640625" customWidth="1"/>
    <col min="8" max="8" width="12.33203125" customWidth="1"/>
    <col min="9" max="9" width="22.1640625" customWidth="1"/>
    <col min="10" max="10" width="13.1640625" customWidth="1"/>
    <col min="11" max="11" width="17" customWidth="1"/>
    <col min="13" max="14" width="15.5" bestFit="1" customWidth="1"/>
    <col min="15" max="15" width="17.83203125" bestFit="1" customWidth="1"/>
    <col min="16" max="16" width="6.1640625" bestFit="1" customWidth="1"/>
    <col min="17" max="17" width="13.6640625" bestFit="1" customWidth="1"/>
    <col min="18" max="18" width="6.83203125" bestFit="1" customWidth="1"/>
    <col min="19" max="19" width="15.1640625" bestFit="1" customWidth="1"/>
    <col min="20" max="20" width="18.1640625" bestFit="1" customWidth="1"/>
    <col min="21" max="21" width="16.6640625" bestFit="1" customWidth="1"/>
    <col min="22" max="22" width="18.83203125" bestFit="1" customWidth="1"/>
    <col min="23" max="23" width="7.1640625" bestFit="1" customWidth="1"/>
    <col min="24" max="24" width="14.6640625" bestFit="1" customWidth="1"/>
    <col min="25" max="25" width="7.83203125" bestFit="1" customWidth="1"/>
    <col min="26" max="26" width="16.33203125" bestFit="1" customWidth="1"/>
    <col min="27" max="27" width="19.1640625" bestFit="1" customWidth="1"/>
    <col min="28" max="28" width="16.6640625" bestFit="1" customWidth="1"/>
    <col min="29" max="29" width="18.83203125" bestFit="1" customWidth="1"/>
    <col min="30" max="30" width="7.1640625" bestFit="1" customWidth="1"/>
    <col min="31" max="31" width="14.6640625" bestFit="1" customWidth="1"/>
    <col min="32" max="32" width="7.83203125" bestFit="1" customWidth="1"/>
    <col min="33" max="33" width="16.33203125" bestFit="1" customWidth="1"/>
    <col min="34" max="34" width="19.1640625" bestFit="1" customWidth="1"/>
  </cols>
  <sheetData>
    <row r="1" spans="1:34" hidden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34" ht="2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34" ht="144" customHeight="1" x14ac:dyDescent="0.2">
      <c r="A3" s="11" t="s">
        <v>408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34" ht="222" customHeight="1" x14ac:dyDescent="0.2">
      <c r="A4" s="12" t="s">
        <v>479</v>
      </c>
      <c r="B4" s="12"/>
      <c r="C4" s="12"/>
      <c r="D4" s="1"/>
      <c r="E4" s="1"/>
      <c r="F4" s="1"/>
      <c r="G4" s="1"/>
      <c r="H4" s="1"/>
      <c r="I4" s="1"/>
      <c r="J4" s="1"/>
      <c r="K4" s="1"/>
    </row>
    <row r="5" spans="1:34" ht="19" customHeight="1" x14ac:dyDescent="0.2">
      <c r="N5" s="7" t="s">
        <v>500</v>
      </c>
      <c r="O5" s="8"/>
      <c r="P5" s="8"/>
      <c r="Q5" s="8"/>
      <c r="R5" s="8"/>
      <c r="S5" s="8"/>
      <c r="T5" s="9"/>
      <c r="U5" s="7" t="s">
        <v>501</v>
      </c>
      <c r="V5" s="8"/>
      <c r="W5" s="8"/>
      <c r="X5" s="8"/>
      <c r="Y5" s="8"/>
      <c r="Z5" s="8"/>
      <c r="AA5" s="9"/>
      <c r="AB5" s="7" t="s">
        <v>502</v>
      </c>
      <c r="AC5" s="8"/>
      <c r="AD5" s="8"/>
      <c r="AE5" s="8"/>
      <c r="AF5" s="8"/>
      <c r="AG5" s="8"/>
      <c r="AH5" s="9"/>
    </row>
    <row r="6" spans="1:34" x14ac:dyDescent="0.2">
      <c r="A6" t="s">
        <v>1</v>
      </c>
      <c r="B6" t="s">
        <v>2</v>
      </c>
      <c r="C6" t="s">
        <v>3</v>
      </c>
      <c r="D6" t="s">
        <v>4</v>
      </c>
      <c r="E6" t="s">
        <v>496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477</v>
      </c>
      <c r="O6" t="s">
        <v>504</v>
      </c>
      <c r="P6" t="s">
        <v>410</v>
      </c>
      <c r="Q6" t="s">
        <v>411</v>
      </c>
      <c r="R6" t="s">
        <v>412</v>
      </c>
      <c r="S6" t="s">
        <v>505</v>
      </c>
      <c r="T6" t="s">
        <v>414</v>
      </c>
      <c r="U6" t="s">
        <v>506</v>
      </c>
      <c r="V6" t="s">
        <v>507</v>
      </c>
      <c r="W6" t="s">
        <v>508</v>
      </c>
      <c r="X6" t="s">
        <v>509</v>
      </c>
      <c r="Y6" t="s">
        <v>510</v>
      </c>
      <c r="Z6" t="s">
        <v>511</v>
      </c>
      <c r="AA6" t="s">
        <v>512</v>
      </c>
      <c r="AB6" t="s">
        <v>503</v>
      </c>
      <c r="AC6" t="s">
        <v>513</v>
      </c>
      <c r="AD6" t="s">
        <v>514</v>
      </c>
      <c r="AE6" t="s">
        <v>515</v>
      </c>
      <c r="AF6" t="s">
        <v>516</v>
      </c>
      <c r="AG6" t="s">
        <v>517</v>
      </c>
      <c r="AH6" t="s">
        <v>518</v>
      </c>
    </row>
    <row r="7" spans="1:34" x14ac:dyDescent="0.2">
      <c r="A7" t="s">
        <v>324</v>
      </c>
      <c r="B7" t="s">
        <v>13</v>
      </c>
      <c r="C7">
        <v>2</v>
      </c>
      <c r="D7" t="s">
        <v>14</v>
      </c>
      <c r="E7" t="str">
        <f t="shared" ref="E7:E70" si="0">LEFT(B7,4)&amp;"."&amp;LEFT(D7,1)</f>
        <v>1FN8.A</v>
      </c>
      <c r="F7" t="s">
        <v>15</v>
      </c>
      <c r="G7" t="s">
        <v>16</v>
      </c>
      <c r="H7">
        <v>1</v>
      </c>
      <c r="I7">
        <v>0</v>
      </c>
      <c r="J7">
        <v>0.81</v>
      </c>
      <c r="K7" t="s">
        <v>325</v>
      </c>
      <c r="L7" t="s">
        <v>326</v>
      </c>
      <c r="M7" t="s">
        <v>17</v>
      </c>
      <c r="N7">
        <v>0.99131000000000002</v>
      </c>
      <c r="O7">
        <v>0.99131000000000002</v>
      </c>
      <c r="P7">
        <v>0.53</v>
      </c>
      <c r="Q7">
        <v>224</v>
      </c>
      <c r="R7">
        <v>1</v>
      </c>
      <c r="S7">
        <v>224</v>
      </c>
      <c r="T7">
        <v>224</v>
      </c>
      <c r="U7">
        <v>0.99351</v>
      </c>
      <c r="V7">
        <v>0.99351</v>
      </c>
      <c r="W7">
        <v>0.45</v>
      </c>
      <c r="X7">
        <v>224</v>
      </c>
      <c r="Y7">
        <v>1</v>
      </c>
      <c r="Z7">
        <v>224</v>
      </c>
      <c r="AA7">
        <v>224</v>
      </c>
      <c r="AB7">
        <v>0.99417999999999995</v>
      </c>
      <c r="AC7">
        <v>0.99417999999999995</v>
      </c>
      <c r="AD7">
        <v>0.43</v>
      </c>
      <c r="AE7">
        <v>224</v>
      </c>
      <c r="AF7">
        <v>1</v>
      </c>
      <c r="AG7">
        <v>224</v>
      </c>
      <c r="AH7">
        <v>224</v>
      </c>
    </row>
    <row r="8" spans="1:34" x14ac:dyDescent="0.2">
      <c r="A8" t="s">
        <v>324</v>
      </c>
      <c r="B8" t="s">
        <v>18</v>
      </c>
      <c r="C8">
        <v>2</v>
      </c>
      <c r="D8" t="s">
        <v>19</v>
      </c>
      <c r="E8" t="str">
        <f t="shared" si="0"/>
        <v>1FN8.B</v>
      </c>
      <c r="F8" t="s">
        <v>20</v>
      </c>
      <c r="H8">
        <v>0</v>
      </c>
      <c r="I8">
        <v>0</v>
      </c>
      <c r="J8">
        <v>0.81</v>
      </c>
      <c r="K8" t="s">
        <v>325</v>
      </c>
      <c r="L8" t="s">
        <v>326</v>
      </c>
      <c r="M8" t="s">
        <v>17</v>
      </c>
    </row>
    <row r="9" spans="1:34" x14ac:dyDescent="0.2">
      <c r="A9" t="s">
        <v>327</v>
      </c>
      <c r="B9" t="s">
        <v>21</v>
      </c>
      <c r="C9">
        <v>1</v>
      </c>
      <c r="D9" t="s">
        <v>14</v>
      </c>
      <c r="E9" t="str">
        <f t="shared" si="0"/>
        <v>1KG1.A</v>
      </c>
      <c r="F9" t="s">
        <v>22</v>
      </c>
      <c r="G9" t="s">
        <v>23</v>
      </c>
      <c r="H9">
        <v>1</v>
      </c>
      <c r="I9" t="s">
        <v>328</v>
      </c>
      <c r="J9">
        <v>0</v>
      </c>
      <c r="K9" t="s">
        <v>329</v>
      </c>
      <c r="L9" t="s">
        <v>330</v>
      </c>
      <c r="M9" t="s">
        <v>24</v>
      </c>
      <c r="N9">
        <v>0.30002000000000001</v>
      </c>
      <c r="O9">
        <v>0.30002000000000001</v>
      </c>
      <c r="P9">
        <v>3.72</v>
      </c>
      <c r="Q9">
        <v>36</v>
      </c>
      <c r="R9">
        <v>0.13900000000000001</v>
      </c>
      <c r="S9">
        <v>60</v>
      </c>
      <c r="T9">
        <v>60</v>
      </c>
      <c r="U9">
        <v>0.36764000000000002</v>
      </c>
      <c r="V9">
        <v>0.36764000000000002</v>
      </c>
      <c r="W9">
        <v>3.51</v>
      </c>
      <c r="X9">
        <v>41</v>
      </c>
      <c r="Y9">
        <v>0.24399999999999999</v>
      </c>
      <c r="Z9">
        <v>60</v>
      </c>
      <c r="AA9">
        <v>60</v>
      </c>
      <c r="AB9">
        <v>0.39532</v>
      </c>
      <c r="AC9">
        <v>0.39532</v>
      </c>
      <c r="AD9">
        <v>2.4500000000000002</v>
      </c>
      <c r="AE9">
        <v>35</v>
      </c>
      <c r="AF9">
        <v>0.45700000000000002</v>
      </c>
      <c r="AG9">
        <v>60</v>
      </c>
      <c r="AH9">
        <v>60</v>
      </c>
    </row>
    <row r="10" spans="1:34" x14ac:dyDescent="0.2">
      <c r="A10" t="s">
        <v>331</v>
      </c>
      <c r="B10" t="s">
        <v>25</v>
      </c>
      <c r="C10">
        <v>1</v>
      </c>
      <c r="D10" t="s">
        <v>26</v>
      </c>
      <c r="E10" t="str">
        <f t="shared" si="0"/>
        <v>1KPT.A</v>
      </c>
      <c r="F10" t="s">
        <v>27</v>
      </c>
      <c r="G10" t="s">
        <v>28</v>
      </c>
      <c r="H10">
        <v>1</v>
      </c>
      <c r="I10" t="s">
        <v>332</v>
      </c>
      <c r="J10">
        <v>1.75</v>
      </c>
      <c r="K10" t="s">
        <v>333</v>
      </c>
      <c r="L10" t="s">
        <v>334</v>
      </c>
      <c r="M10" t="s">
        <v>29</v>
      </c>
      <c r="N10">
        <v>0.96011999999999997</v>
      </c>
      <c r="O10">
        <v>0.96011999999999997</v>
      </c>
      <c r="P10">
        <v>0.85</v>
      </c>
      <c r="Q10">
        <v>105</v>
      </c>
      <c r="R10">
        <v>1</v>
      </c>
      <c r="S10">
        <v>105</v>
      </c>
      <c r="T10">
        <v>105</v>
      </c>
      <c r="U10">
        <v>0.97702</v>
      </c>
      <c r="V10">
        <v>0.97702</v>
      </c>
      <c r="W10">
        <v>0.64</v>
      </c>
      <c r="X10">
        <v>105</v>
      </c>
      <c r="Y10">
        <v>1</v>
      </c>
      <c r="Z10">
        <v>105</v>
      </c>
      <c r="AA10">
        <v>105</v>
      </c>
      <c r="AB10">
        <v>0.98372999999999999</v>
      </c>
      <c r="AC10">
        <v>0.98372999999999999</v>
      </c>
      <c r="AD10">
        <v>0.53</v>
      </c>
      <c r="AE10">
        <v>105</v>
      </c>
      <c r="AF10">
        <v>1</v>
      </c>
      <c r="AG10">
        <v>105</v>
      </c>
      <c r="AH10">
        <v>105</v>
      </c>
    </row>
    <row r="11" spans="1:34" x14ac:dyDescent="0.2">
      <c r="A11" t="s">
        <v>346</v>
      </c>
      <c r="B11" t="s">
        <v>67</v>
      </c>
      <c r="C11">
        <v>2</v>
      </c>
      <c r="D11" t="s">
        <v>68</v>
      </c>
      <c r="E11" t="str">
        <f t="shared" si="0"/>
        <v>31EE.C</v>
      </c>
      <c r="F11" t="s">
        <v>69</v>
      </c>
      <c r="G11" t="s">
        <v>16</v>
      </c>
      <c r="H11">
        <v>0</v>
      </c>
      <c r="I11">
        <v>0</v>
      </c>
      <c r="J11">
        <v>1.81</v>
      </c>
      <c r="K11" t="s">
        <v>325</v>
      </c>
      <c r="L11" t="s">
        <v>347</v>
      </c>
      <c r="M11" t="s">
        <v>66</v>
      </c>
      <c r="N11">
        <v>0.47665000000000002</v>
      </c>
      <c r="O11">
        <v>0.53198000000000001</v>
      </c>
      <c r="P11">
        <v>3.66</v>
      </c>
      <c r="Q11">
        <v>81</v>
      </c>
      <c r="R11">
        <v>0.45700000000000002</v>
      </c>
      <c r="S11">
        <v>118</v>
      </c>
      <c r="T11">
        <v>102</v>
      </c>
      <c r="U11">
        <v>0.98619000000000001</v>
      </c>
      <c r="V11">
        <v>0.85414999999999996</v>
      </c>
      <c r="W11">
        <v>0.46</v>
      </c>
      <c r="X11">
        <v>102</v>
      </c>
      <c r="Y11">
        <v>0.99</v>
      </c>
      <c r="Z11">
        <v>118</v>
      </c>
      <c r="AA11">
        <v>102</v>
      </c>
      <c r="AB11">
        <v>0.72131000000000001</v>
      </c>
      <c r="AC11">
        <v>0.8226</v>
      </c>
      <c r="AD11">
        <v>2.21</v>
      </c>
      <c r="AE11">
        <v>98</v>
      </c>
      <c r="AF11">
        <v>0.94899999999999995</v>
      </c>
      <c r="AG11">
        <v>118</v>
      </c>
      <c r="AH11">
        <v>102</v>
      </c>
    </row>
    <row r="12" spans="1:34" x14ac:dyDescent="0.2">
      <c r="A12" t="s">
        <v>340</v>
      </c>
      <c r="B12" t="s">
        <v>98</v>
      </c>
      <c r="C12">
        <v>2</v>
      </c>
      <c r="D12" t="s">
        <v>26</v>
      </c>
      <c r="E12" t="str">
        <f t="shared" si="0"/>
        <v>5A6W.A</v>
      </c>
      <c r="F12" t="s">
        <v>99</v>
      </c>
      <c r="G12" t="s">
        <v>100</v>
      </c>
      <c r="H12">
        <v>0</v>
      </c>
      <c r="I12" t="s">
        <v>332</v>
      </c>
      <c r="J12">
        <v>1.6</v>
      </c>
      <c r="K12" t="s">
        <v>333</v>
      </c>
      <c r="L12" t="s">
        <v>359</v>
      </c>
      <c r="M12" t="s">
        <v>101</v>
      </c>
      <c r="N12">
        <v>0.47804999999999997</v>
      </c>
      <c r="O12">
        <v>0.53400000000000003</v>
      </c>
      <c r="P12">
        <v>3.65</v>
      </c>
      <c r="Q12">
        <v>81</v>
      </c>
      <c r="R12">
        <v>0.45700000000000002</v>
      </c>
      <c r="S12">
        <v>118</v>
      </c>
      <c r="T12">
        <v>102</v>
      </c>
      <c r="U12">
        <v>0.97591000000000006</v>
      </c>
      <c r="V12">
        <v>0.84504999999999997</v>
      </c>
      <c r="W12">
        <v>0.53</v>
      </c>
      <c r="X12">
        <v>101</v>
      </c>
      <c r="Y12">
        <v>1</v>
      </c>
      <c r="Z12">
        <v>118</v>
      </c>
      <c r="AA12">
        <v>102</v>
      </c>
      <c r="AB12">
        <v>0.67095000000000005</v>
      </c>
      <c r="AC12">
        <v>0.75919000000000003</v>
      </c>
      <c r="AD12">
        <v>2.74</v>
      </c>
      <c r="AE12">
        <v>99</v>
      </c>
      <c r="AF12">
        <v>0.81799999999999995</v>
      </c>
      <c r="AG12">
        <v>118</v>
      </c>
      <c r="AH12">
        <v>102</v>
      </c>
    </row>
    <row r="13" spans="1:34" x14ac:dyDescent="0.2">
      <c r="A13" t="s">
        <v>337</v>
      </c>
      <c r="B13" t="s">
        <v>131</v>
      </c>
      <c r="C13">
        <v>2</v>
      </c>
      <c r="D13" t="s">
        <v>14</v>
      </c>
      <c r="E13" t="str">
        <f t="shared" si="0"/>
        <v>5ZNG.A</v>
      </c>
      <c r="F13" t="s">
        <v>132</v>
      </c>
      <c r="G13" t="s">
        <v>133</v>
      </c>
      <c r="H13">
        <v>0</v>
      </c>
      <c r="I13" t="s">
        <v>332</v>
      </c>
      <c r="J13">
        <v>2.19</v>
      </c>
      <c r="K13" t="s">
        <v>329</v>
      </c>
      <c r="L13" t="s">
        <v>370</v>
      </c>
      <c r="M13" t="s">
        <v>134</v>
      </c>
      <c r="N13">
        <v>0.45683000000000001</v>
      </c>
      <c r="O13">
        <v>0.45683000000000001</v>
      </c>
      <c r="P13">
        <v>3.88</v>
      </c>
      <c r="Q13">
        <v>63</v>
      </c>
      <c r="R13">
        <v>0.69799999999999995</v>
      </c>
      <c r="S13">
        <v>80</v>
      </c>
      <c r="T13">
        <v>80</v>
      </c>
      <c r="U13">
        <v>0.79278999999999999</v>
      </c>
      <c r="V13">
        <v>0.79278999999999999</v>
      </c>
      <c r="W13">
        <v>2.12</v>
      </c>
      <c r="X13">
        <v>77</v>
      </c>
      <c r="Y13">
        <v>0.97399999999999998</v>
      </c>
      <c r="Z13">
        <v>80</v>
      </c>
      <c r="AA13">
        <v>80</v>
      </c>
      <c r="AB13">
        <v>0.73282000000000003</v>
      </c>
      <c r="AC13">
        <v>0.73282000000000003</v>
      </c>
      <c r="AD13">
        <v>2.12</v>
      </c>
      <c r="AE13">
        <v>73</v>
      </c>
      <c r="AF13">
        <v>1</v>
      </c>
      <c r="AG13">
        <v>80</v>
      </c>
      <c r="AH13">
        <v>80</v>
      </c>
    </row>
    <row r="14" spans="1:34" x14ac:dyDescent="0.2">
      <c r="A14" t="s">
        <v>340</v>
      </c>
      <c r="B14" t="s">
        <v>146</v>
      </c>
      <c r="C14">
        <v>2</v>
      </c>
      <c r="D14" t="s">
        <v>147</v>
      </c>
      <c r="E14" t="str">
        <f t="shared" si="0"/>
        <v>6FU9.A</v>
      </c>
      <c r="F14" t="s">
        <v>148</v>
      </c>
      <c r="G14" t="s">
        <v>133</v>
      </c>
      <c r="H14">
        <v>0</v>
      </c>
      <c r="I14" t="s">
        <v>332</v>
      </c>
      <c r="J14">
        <v>1.2</v>
      </c>
      <c r="K14" t="s">
        <v>333</v>
      </c>
      <c r="L14" t="s">
        <v>374</v>
      </c>
      <c r="M14" t="s">
        <v>149</v>
      </c>
      <c r="N14">
        <v>0.46666999999999997</v>
      </c>
      <c r="O14">
        <v>0.46666999999999997</v>
      </c>
      <c r="P14">
        <v>3.63</v>
      </c>
      <c r="Q14">
        <v>60</v>
      </c>
      <c r="R14">
        <v>0.48299999999999998</v>
      </c>
      <c r="S14">
        <v>64</v>
      </c>
      <c r="T14">
        <v>64</v>
      </c>
      <c r="U14">
        <v>0.89905999999999997</v>
      </c>
      <c r="V14">
        <v>0.89905999999999997</v>
      </c>
      <c r="W14">
        <v>1.06</v>
      </c>
      <c r="X14">
        <v>64</v>
      </c>
      <c r="Y14">
        <v>1</v>
      </c>
      <c r="Z14">
        <v>64</v>
      </c>
      <c r="AA14">
        <v>64</v>
      </c>
      <c r="AB14">
        <v>0.89834999999999998</v>
      </c>
      <c r="AC14">
        <v>0.89834999999999998</v>
      </c>
      <c r="AD14">
        <v>1.07</v>
      </c>
      <c r="AE14">
        <v>64</v>
      </c>
      <c r="AF14">
        <v>1</v>
      </c>
      <c r="AG14">
        <v>64</v>
      </c>
      <c r="AH14">
        <v>64</v>
      </c>
    </row>
    <row r="15" spans="1:34" x14ac:dyDescent="0.2">
      <c r="A15" t="s">
        <v>340</v>
      </c>
      <c r="B15" t="s">
        <v>155</v>
      </c>
      <c r="C15">
        <v>2</v>
      </c>
      <c r="D15" t="s">
        <v>156</v>
      </c>
      <c r="E15" t="str">
        <f t="shared" si="0"/>
        <v>6FUB.B</v>
      </c>
      <c r="F15" t="s">
        <v>148</v>
      </c>
      <c r="G15" t="s">
        <v>133</v>
      </c>
      <c r="H15">
        <v>0</v>
      </c>
      <c r="I15" t="s">
        <v>332</v>
      </c>
      <c r="J15">
        <v>1.3</v>
      </c>
      <c r="K15" t="s">
        <v>333</v>
      </c>
      <c r="L15" t="s">
        <v>374</v>
      </c>
      <c r="M15" t="s">
        <v>149</v>
      </c>
      <c r="N15">
        <v>0.48946000000000001</v>
      </c>
      <c r="O15">
        <v>0.48946000000000001</v>
      </c>
      <c r="P15">
        <v>2.6</v>
      </c>
      <c r="Q15">
        <v>45</v>
      </c>
      <c r="R15">
        <v>0.88900000000000001</v>
      </c>
      <c r="S15">
        <v>65</v>
      </c>
      <c r="T15">
        <v>65</v>
      </c>
      <c r="U15">
        <v>0.89207999999999998</v>
      </c>
      <c r="V15">
        <v>0.89207999999999998</v>
      </c>
      <c r="W15">
        <v>1.22</v>
      </c>
      <c r="X15">
        <v>65</v>
      </c>
      <c r="Y15">
        <v>1</v>
      </c>
      <c r="Z15">
        <v>65</v>
      </c>
      <c r="AA15">
        <v>65</v>
      </c>
      <c r="AB15">
        <v>0.90705999999999998</v>
      </c>
      <c r="AC15">
        <v>0.90705999999999998</v>
      </c>
      <c r="AD15">
        <v>1.2</v>
      </c>
      <c r="AE15">
        <v>65</v>
      </c>
      <c r="AF15">
        <v>1</v>
      </c>
      <c r="AG15">
        <v>65</v>
      </c>
      <c r="AH15">
        <v>65</v>
      </c>
    </row>
    <row r="16" spans="1:34" x14ac:dyDescent="0.2">
      <c r="A16" t="s">
        <v>340</v>
      </c>
      <c r="B16" t="s">
        <v>157</v>
      </c>
      <c r="C16">
        <v>2</v>
      </c>
      <c r="D16" t="s">
        <v>14</v>
      </c>
      <c r="E16" t="str">
        <f t="shared" si="0"/>
        <v>6FUD.A</v>
      </c>
      <c r="F16" t="s">
        <v>148</v>
      </c>
      <c r="G16" t="s">
        <v>133</v>
      </c>
      <c r="H16">
        <v>0</v>
      </c>
      <c r="I16" t="s">
        <v>332</v>
      </c>
      <c r="J16">
        <v>1.3</v>
      </c>
      <c r="K16" t="s">
        <v>333</v>
      </c>
      <c r="L16" t="s">
        <v>374</v>
      </c>
      <c r="M16" t="s">
        <v>149</v>
      </c>
      <c r="N16">
        <v>0.24790999999999999</v>
      </c>
      <c r="O16">
        <v>0.28294999999999998</v>
      </c>
      <c r="P16">
        <v>4.07</v>
      </c>
      <c r="Q16">
        <v>43</v>
      </c>
      <c r="R16">
        <v>0.30199999999999999</v>
      </c>
      <c r="S16">
        <v>98</v>
      </c>
      <c r="T16">
        <v>79</v>
      </c>
      <c r="U16">
        <v>0.72843000000000002</v>
      </c>
      <c r="V16">
        <v>0.59770999999999996</v>
      </c>
      <c r="W16">
        <v>1.99</v>
      </c>
      <c r="X16">
        <v>66</v>
      </c>
      <c r="Y16">
        <v>0.92400000000000004</v>
      </c>
      <c r="Z16">
        <v>98</v>
      </c>
      <c r="AA16">
        <v>79</v>
      </c>
      <c r="AB16">
        <v>0.58679000000000003</v>
      </c>
      <c r="AC16">
        <v>0.71862000000000004</v>
      </c>
      <c r="AD16">
        <v>2.2599999999999998</v>
      </c>
      <c r="AE16">
        <v>64</v>
      </c>
      <c r="AF16">
        <v>0.93799999999999994</v>
      </c>
      <c r="AG16">
        <v>98</v>
      </c>
      <c r="AH16">
        <v>79</v>
      </c>
    </row>
    <row r="17" spans="1:34" x14ac:dyDescent="0.2">
      <c r="A17" t="s">
        <v>337</v>
      </c>
      <c r="B17" t="s">
        <v>159</v>
      </c>
      <c r="C17">
        <v>2</v>
      </c>
      <c r="D17" t="s">
        <v>26</v>
      </c>
      <c r="E17" t="str">
        <f t="shared" si="0"/>
        <v>6G10.A</v>
      </c>
      <c r="F17" t="s">
        <v>160</v>
      </c>
      <c r="G17" t="s">
        <v>133</v>
      </c>
      <c r="H17">
        <v>0</v>
      </c>
      <c r="I17" t="s">
        <v>332</v>
      </c>
      <c r="J17">
        <v>1.35</v>
      </c>
      <c r="K17" t="s">
        <v>329</v>
      </c>
      <c r="L17" t="s">
        <v>374</v>
      </c>
      <c r="M17" t="s">
        <v>161</v>
      </c>
      <c r="N17">
        <v>0.47844999999999999</v>
      </c>
      <c r="O17">
        <v>0.55854999999999999</v>
      </c>
      <c r="P17">
        <v>2.74</v>
      </c>
      <c r="Q17">
        <v>62</v>
      </c>
      <c r="R17">
        <v>0.71</v>
      </c>
      <c r="S17">
        <v>97</v>
      </c>
      <c r="T17">
        <v>79</v>
      </c>
      <c r="U17">
        <v>0.77010000000000001</v>
      </c>
      <c r="V17">
        <v>0.63634000000000002</v>
      </c>
      <c r="W17">
        <v>1.23</v>
      </c>
      <c r="X17">
        <v>66</v>
      </c>
      <c r="Y17">
        <v>1</v>
      </c>
      <c r="Z17">
        <v>97</v>
      </c>
      <c r="AA17">
        <v>79</v>
      </c>
      <c r="AB17">
        <v>0.63327999999999995</v>
      </c>
      <c r="AC17">
        <v>0.76549</v>
      </c>
      <c r="AD17">
        <v>1.28</v>
      </c>
      <c r="AE17">
        <v>66</v>
      </c>
      <c r="AF17">
        <v>1</v>
      </c>
      <c r="AG17">
        <v>97</v>
      </c>
      <c r="AH17">
        <v>79</v>
      </c>
    </row>
    <row r="18" spans="1:34" x14ac:dyDescent="0.2">
      <c r="A18" t="s">
        <v>340</v>
      </c>
      <c r="B18" t="s">
        <v>165</v>
      </c>
      <c r="C18">
        <v>2</v>
      </c>
      <c r="D18" t="s">
        <v>166</v>
      </c>
      <c r="E18" t="str">
        <f t="shared" si="0"/>
        <v>6G11.B</v>
      </c>
      <c r="F18" t="s">
        <v>160</v>
      </c>
      <c r="G18" t="s">
        <v>167</v>
      </c>
      <c r="H18">
        <v>0</v>
      </c>
      <c r="I18" t="s">
        <v>332</v>
      </c>
      <c r="J18">
        <v>1.9</v>
      </c>
      <c r="K18" t="s">
        <v>333</v>
      </c>
      <c r="L18" t="s">
        <v>374</v>
      </c>
      <c r="M18" t="s">
        <v>161</v>
      </c>
      <c r="N18">
        <v>0.77305999999999997</v>
      </c>
      <c r="O18">
        <v>0.77305999999999997</v>
      </c>
      <c r="P18">
        <v>1.78</v>
      </c>
      <c r="Q18">
        <v>65</v>
      </c>
      <c r="R18">
        <v>0.93799999999999994</v>
      </c>
      <c r="S18">
        <v>66</v>
      </c>
      <c r="T18">
        <v>66</v>
      </c>
      <c r="U18">
        <v>0.78280000000000005</v>
      </c>
      <c r="V18">
        <v>0.78280000000000005</v>
      </c>
      <c r="W18">
        <v>1.89</v>
      </c>
      <c r="X18">
        <v>65</v>
      </c>
      <c r="Y18">
        <v>0.98499999999999999</v>
      </c>
      <c r="Z18">
        <v>66</v>
      </c>
      <c r="AA18">
        <v>66</v>
      </c>
      <c r="AB18">
        <v>0.78051999999999999</v>
      </c>
      <c r="AC18">
        <v>0.78051999999999999</v>
      </c>
      <c r="AD18">
        <v>1.93</v>
      </c>
      <c r="AE18">
        <v>66</v>
      </c>
      <c r="AF18">
        <v>1</v>
      </c>
      <c r="AG18">
        <v>66</v>
      </c>
      <c r="AH18">
        <v>66</v>
      </c>
    </row>
    <row r="19" spans="1:34" x14ac:dyDescent="0.2">
      <c r="A19" t="s">
        <v>340</v>
      </c>
      <c r="B19" t="s">
        <v>176</v>
      </c>
      <c r="C19">
        <v>2</v>
      </c>
      <c r="D19" t="s">
        <v>14</v>
      </c>
      <c r="E19" t="str">
        <f t="shared" si="0"/>
        <v>6Q76.A</v>
      </c>
      <c r="F19" t="s">
        <v>160</v>
      </c>
      <c r="G19" t="s">
        <v>133</v>
      </c>
      <c r="H19">
        <v>0</v>
      </c>
      <c r="I19" t="s">
        <v>332</v>
      </c>
      <c r="J19">
        <v>1.9</v>
      </c>
      <c r="K19" t="s">
        <v>333</v>
      </c>
      <c r="L19" t="s">
        <v>377</v>
      </c>
      <c r="M19" t="s">
        <v>177</v>
      </c>
      <c r="N19">
        <v>0.57696000000000003</v>
      </c>
      <c r="O19">
        <v>0.57696000000000003</v>
      </c>
      <c r="P19">
        <v>3.07</v>
      </c>
      <c r="Q19">
        <v>81</v>
      </c>
      <c r="R19">
        <v>0.67900000000000005</v>
      </c>
      <c r="S19">
        <v>95</v>
      </c>
      <c r="T19">
        <v>95</v>
      </c>
      <c r="U19">
        <v>0.62495000000000001</v>
      </c>
      <c r="V19">
        <v>0.62495000000000001</v>
      </c>
      <c r="W19">
        <v>2.86</v>
      </c>
      <c r="X19">
        <v>85</v>
      </c>
      <c r="Y19">
        <v>0.8</v>
      </c>
      <c r="Z19">
        <v>95</v>
      </c>
      <c r="AA19">
        <v>95</v>
      </c>
      <c r="AB19">
        <v>0.55052999999999996</v>
      </c>
      <c r="AC19">
        <v>0.55052999999999996</v>
      </c>
      <c r="AD19">
        <v>3.13</v>
      </c>
      <c r="AE19">
        <v>78</v>
      </c>
      <c r="AF19">
        <v>0.71799999999999997</v>
      </c>
      <c r="AG19">
        <v>95</v>
      </c>
      <c r="AH19">
        <v>95</v>
      </c>
    </row>
    <row r="20" spans="1:34" x14ac:dyDescent="0.2">
      <c r="A20" t="s">
        <v>340</v>
      </c>
      <c r="B20" t="s">
        <v>196</v>
      </c>
      <c r="C20">
        <v>2</v>
      </c>
      <c r="D20" t="s">
        <v>197</v>
      </c>
      <c r="E20" t="str">
        <f t="shared" si="0"/>
        <v>7A8X.A</v>
      </c>
      <c r="F20" t="s">
        <v>148</v>
      </c>
      <c r="G20" t="s">
        <v>133</v>
      </c>
      <c r="H20">
        <v>0</v>
      </c>
      <c r="I20" t="s">
        <v>332</v>
      </c>
      <c r="J20" t="s">
        <v>384</v>
      </c>
      <c r="K20" t="s">
        <v>333</v>
      </c>
      <c r="L20" t="s">
        <v>385</v>
      </c>
      <c r="M20" t="s">
        <v>198</v>
      </c>
      <c r="N20">
        <v>0.28986000000000001</v>
      </c>
      <c r="O20">
        <v>0.30972</v>
      </c>
      <c r="P20">
        <v>4.4000000000000004</v>
      </c>
      <c r="Q20">
        <v>62</v>
      </c>
      <c r="R20">
        <v>0.30599999999999999</v>
      </c>
      <c r="S20">
        <v>127</v>
      </c>
      <c r="T20">
        <v>115</v>
      </c>
      <c r="U20">
        <v>0.97443000000000002</v>
      </c>
      <c r="V20">
        <v>0.88400000000000001</v>
      </c>
      <c r="W20">
        <v>0.85</v>
      </c>
      <c r="X20">
        <v>115</v>
      </c>
      <c r="Y20">
        <v>1</v>
      </c>
      <c r="Z20">
        <v>127</v>
      </c>
      <c r="AA20">
        <v>115</v>
      </c>
      <c r="AB20">
        <v>0.88449</v>
      </c>
      <c r="AC20">
        <v>0.97502999999999995</v>
      </c>
      <c r="AD20">
        <v>0.85</v>
      </c>
      <c r="AE20">
        <v>115</v>
      </c>
      <c r="AF20">
        <v>1</v>
      </c>
      <c r="AG20">
        <v>127</v>
      </c>
      <c r="AH20">
        <v>115</v>
      </c>
    </row>
    <row r="21" spans="1:34" x14ac:dyDescent="0.2">
      <c r="A21" t="s">
        <v>340</v>
      </c>
      <c r="B21" t="s">
        <v>206</v>
      </c>
      <c r="C21">
        <v>2</v>
      </c>
      <c r="D21" t="s">
        <v>154</v>
      </c>
      <c r="E21" t="str">
        <f t="shared" si="0"/>
        <v>7B1I.A</v>
      </c>
      <c r="F21" t="s">
        <v>207</v>
      </c>
      <c r="G21" t="s">
        <v>208</v>
      </c>
      <c r="H21">
        <v>0</v>
      </c>
      <c r="I21" t="s">
        <v>332</v>
      </c>
      <c r="J21">
        <v>1.9</v>
      </c>
      <c r="K21" t="s">
        <v>333</v>
      </c>
      <c r="L21" t="s">
        <v>386</v>
      </c>
      <c r="M21" t="s">
        <v>209</v>
      </c>
      <c r="N21">
        <v>0.22026000000000001</v>
      </c>
      <c r="O21">
        <v>0.26679000000000003</v>
      </c>
      <c r="P21">
        <v>4.7</v>
      </c>
      <c r="Q21">
        <v>54</v>
      </c>
      <c r="R21">
        <v>3.6999999999999998E-2</v>
      </c>
      <c r="S21">
        <v>150</v>
      </c>
      <c r="T21">
        <v>113</v>
      </c>
      <c r="U21">
        <v>0.98836000000000002</v>
      </c>
      <c r="V21">
        <v>0.74663000000000002</v>
      </c>
      <c r="W21">
        <v>0.46</v>
      </c>
      <c r="X21">
        <v>113</v>
      </c>
      <c r="Y21">
        <v>1</v>
      </c>
      <c r="Z21">
        <v>150</v>
      </c>
      <c r="AA21">
        <v>113</v>
      </c>
      <c r="AB21">
        <v>0.74585000000000001</v>
      </c>
      <c r="AC21">
        <v>0.98731999999999998</v>
      </c>
      <c r="AD21">
        <v>0.51</v>
      </c>
      <c r="AE21">
        <v>113</v>
      </c>
      <c r="AF21">
        <v>1</v>
      </c>
      <c r="AG21">
        <v>150</v>
      </c>
      <c r="AH21">
        <v>113</v>
      </c>
    </row>
    <row r="22" spans="1:34" x14ac:dyDescent="0.2">
      <c r="A22" t="s">
        <v>337</v>
      </c>
      <c r="B22" t="s">
        <v>219</v>
      </c>
      <c r="C22">
        <v>2</v>
      </c>
      <c r="D22" t="s">
        <v>14</v>
      </c>
      <c r="E22" t="str">
        <f t="shared" si="0"/>
        <v>7NLJ.A</v>
      </c>
      <c r="F22" t="s">
        <v>220</v>
      </c>
      <c r="G22" t="s">
        <v>221</v>
      </c>
      <c r="H22">
        <v>0</v>
      </c>
      <c r="I22" t="s">
        <v>332</v>
      </c>
      <c r="J22">
        <v>1.8</v>
      </c>
      <c r="K22" t="s">
        <v>333</v>
      </c>
      <c r="L22" t="s">
        <v>390</v>
      </c>
      <c r="M22" t="s">
        <v>222</v>
      </c>
      <c r="N22">
        <v>0.83818000000000004</v>
      </c>
      <c r="O22">
        <v>0.92225000000000001</v>
      </c>
      <c r="P22">
        <v>1.89</v>
      </c>
      <c r="Q22">
        <v>244</v>
      </c>
      <c r="R22">
        <v>0.92600000000000005</v>
      </c>
      <c r="S22">
        <v>271</v>
      </c>
      <c r="T22">
        <v>245</v>
      </c>
      <c r="U22">
        <v>0.96877000000000002</v>
      </c>
      <c r="V22">
        <v>0.87783</v>
      </c>
      <c r="W22">
        <v>1.18</v>
      </c>
      <c r="X22">
        <v>245</v>
      </c>
      <c r="Y22">
        <v>1</v>
      </c>
      <c r="Z22">
        <v>271</v>
      </c>
      <c r="AA22">
        <v>245</v>
      </c>
      <c r="AB22">
        <v>0.87897999999999998</v>
      </c>
      <c r="AC22">
        <v>0.97011000000000003</v>
      </c>
      <c r="AD22">
        <v>1.1599999999999999</v>
      </c>
      <c r="AE22">
        <v>245</v>
      </c>
      <c r="AF22">
        <v>1</v>
      </c>
      <c r="AG22">
        <v>271</v>
      </c>
      <c r="AH22">
        <v>245</v>
      </c>
    </row>
    <row r="23" spans="1:34" x14ac:dyDescent="0.2">
      <c r="A23" t="s">
        <v>340</v>
      </c>
      <c r="B23" t="s">
        <v>226</v>
      </c>
      <c r="C23">
        <v>2</v>
      </c>
      <c r="D23" t="s">
        <v>82</v>
      </c>
      <c r="E23" t="str">
        <f t="shared" si="0"/>
        <v>7NMM.A</v>
      </c>
      <c r="F23" t="s">
        <v>227</v>
      </c>
      <c r="G23" t="s">
        <v>221</v>
      </c>
      <c r="H23">
        <v>0</v>
      </c>
      <c r="I23" t="s">
        <v>332</v>
      </c>
      <c r="J23">
        <v>2.2999999999999998</v>
      </c>
      <c r="K23" t="s">
        <v>333</v>
      </c>
      <c r="L23" t="s">
        <v>390</v>
      </c>
      <c r="M23" t="s">
        <v>228</v>
      </c>
    </row>
    <row r="24" spans="1:34" x14ac:dyDescent="0.2">
      <c r="A24" t="s">
        <v>391</v>
      </c>
      <c r="B24" t="s">
        <v>233</v>
      </c>
      <c r="C24">
        <v>2</v>
      </c>
      <c r="D24" t="s">
        <v>14</v>
      </c>
      <c r="E24" t="str">
        <f t="shared" si="0"/>
        <v>7PP2.A</v>
      </c>
      <c r="F24" t="s">
        <v>234</v>
      </c>
      <c r="G24" t="s">
        <v>208</v>
      </c>
      <c r="H24">
        <v>0</v>
      </c>
      <c r="I24" t="s">
        <v>332</v>
      </c>
      <c r="J24">
        <v>2.69</v>
      </c>
      <c r="K24" t="s">
        <v>333</v>
      </c>
      <c r="L24" t="s">
        <v>392</v>
      </c>
      <c r="M24" t="s">
        <v>235</v>
      </c>
      <c r="N24">
        <v>0.66752999999999996</v>
      </c>
      <c r="O24">
        <v>0.78974</v>
      </c>
      <c r="P24">
        <v>3.29</v>
      </c>
      <c r="Q24">
        <v>183</v>
      </c>
      <c r="R24">
        <v>0.85799999999999998</v>
      </c>
      <c r="S24">
        <v>228</v>
      </c>
      <c r="T24">
        <v>189</v>
      </c>
      <c r="U24">
        <v>0.98050999999999999</v>
      </c>
      <c r="V24">
        <v>0.81535000000000002</v>
      </c>
      <c r="W24">
        <v>0.73</v>
      </c>
      <c r="X24">
        <v>189</v>
      </c>
      <c r="Y24">
        <v>1</v>
      </c>
      <c r="Z24">
        <v>228</v>
      </c>
      <c r="AA24">
        <v>189</v>
      </c>
      <c r="AB24">
        <v>0.66715999999999998</v>
      </c>
      <c r="AC24">
        <v>0.79151000000000005</v>
      </c>
      <c r="AD24">
        <v>3.5</v>
      </c>
      <c r="AE24">
        <v>183</v>
      </c>
      <c r="AF24">
        <v>0.84199999999999997</v>
      </c>
      <c r="AG24">
        <v>228</v>
      </c>
      <c r="AH24">
        <v>189</v>
      </c>
    </row>
    <row r="25" spans="1:34" x14ac:dyDescent="0.2">
      <c r="A25" t="s">
        <v>393</v>
      </c>
      <c r="B25" t="s">
        <v>245</v>
      </c>
      <c r="C25">
        <v>2</v>
      </c>
      <c r="D25" t="s">
        <v>246</v>
      </c>
      <c r="E25" t="str">
        <f t="shared" si="0"/>
        <v>7T6A.C</v>
      </c>
      <c r="F25" t="s">
        <v>247</v>
      </c>
      <c r="G25" t="s">
        <v>241</v>
      </c>
      <c r="H25">
        <v>0</v>
      </c>
      <c r="I25" t="s">
        <v>332</v>
      </c>
      <c r="J25">
        <v>1.65</v>
      </c>
      <c r="K25" t="s">
        <v>365</v>
      </c>
      <c r="L25" t="s">
        <v>365</v>
      </c>
      <c r="M25" t="s">
        <v>242</v>
      </c>
      <c r="N25">
        <v>0.66747999999999996</v>
      </c>
      <c r="O25">
        <v>0.78885000000000005</v>
      </c>
      <c r="P25">
        <v>3.31</v>
      </c>
      <c r="Q25">
        <v>184</v>
      </c>
      <c r="R25">
        <v>0.83699999999999997</v>
      </c>
      <c r="S25">
        <v>228</v>
      </c>
      <c r="T25">
        <v>189</v>
      </c>
      <c r="U25">
        <v>0.98724999999999996</v>
      </c>
      <c r="V25">
        <v>0.82006999999999997</v>
      </c>
      <c r="W25">
        <v>0.59</v>
      </c>
      <c r="X25">
        <v>189</v>
      </c>
      <c r="Y25">
        <v>1</v>
      </c>
      <c r="Z25">
        <v>228</v>
      </c>
      <c r="AA25">
        <v>189</v>
      </c>
      <c r="AB25">
        <v>0.66796</v>
      </c>
      <c r="AC25">
        <v>0.79215999999999998</v>
      </c>
      <c r="AD25">
        <v>3.49</v>
      </c>
      <c r="AE25">
        <v>183</v>
      </c>
      <c r="AF25">
        <v>0.85199999999999998</v>
      </c>
      <c r="AG25">
        <v>228</v>
      </c>
      <c r="AH25">
        <v>189</v>
      </c>
    </row>
    <row r="26" spans="1:34" x14ac:dyDescent="0.2">
      <c r="A26" t="s">
        <v>394</v>
      </c>
      <c r="B26" t="s">
        <v>248</v>
      </c>
      <c r="C26">
        <v>2</v>
      </c>
      <c r="D26" t="s">
        <v>249</v>
      </c>
      <c r="E26" t="str">
        <f t="shared" si="0"/>
        <v>7XC2.A</v>
      </c>
      <c r="F26" t="s">
        <v>250</v>
      </c>
      <c r="G26" t="s">
        <v>251</v>
      </c>
      <c r="H26">
        <v>0</v>
      </c>
      <c r="I26" t="s">
        <v>395</v>
      </c>
      <c r="J26">
        <v>3</v>
      </c>
      <c r="K26" t="s">
        <v>333</v>
      </c>
      <c r="L26" t="s">
        <v>396</v>
      </c>
      <c r="M26" t="s">
        <v>252</v>
      </c>
      <c r="N26">
        <v>0.41221000000000002</v>
      </c>
      <c r="O26">
        <v>0.43071999999999999</v>
      </c>
      <c r="P26">
        <v>4.3099999999999996</v>
      </c>
      <c r="Q26">
        <v>130</v>
      </c>
      <c r="R26">
        <v>0.623</v>
      </c>
      <c r="S26">
        <v>238</v>
      </c>
      <c r="T26">
        <v>226</v>
      </c>
      <c r="AB26">
        <v>0.85585</v>
      </c>
      <c r="AC26">
        <v>0.89851999999999999</v>
      </c>
      <c r="AD26">
        <v>2.0499999999999998</v>
      </c>
      <c r="AE26">
        <v>221</v>
      </c>
      <c r="AF26">
        <v>0.98599999999999999</v>
      </c>
      <c r="AG26">
        <v>238</v>
      </c>
      <c r="AH26">
        <v>226</v>
      </c>
    </row>
    <row r="27" spans="1:34" x14ac:dyDescent="0.2">
      <c r="A27" t="s">
        <v>394</v>
      </c>
      <c r="B27" t="s">
        <v>259</v>
      </c>
      <c r="C27">
        <v>2</v>
      </c>
      <c r="D27" t="s">
        <v>260</v>
      </c>
      <c r="E27" t="str">
        <f t="shared" si="0"/>
        <v>7XE0.A</v>
      </c>
      <c r="F27" t="s">
        <v>261</v>
      </c>
      <c r="G27" t="s">
        <v>251</v>
      </c>
      <c r="H27">
        <v>0</v>
      </c>
      <c r="I27" t="s">
        <v>395</v>
      </c>
      <c r="J27">
        <v>3.33</v>
      </c>
      <c r="K27" t="s">
        <v>333</v>
      </c>
      <c r="L27" t="s">
        <v>398</v>
      </c>
      <c r="M27" t="s">
        <v>262</v>
      </c>
      <c r="N27">
        <v>0.42662</v>
      </c>
      <c r="O27">
        <v>0.46160000000000001</v>
      </c>
      <c r="P27">
        <v>4.62</v>
      </c>
      <c r="Q27">
        <v>141</v>
      </c>
      <c r="R27">
        <v>0.51100000000000001</v>
      </c>
      <c r="S27">
        <v>244</v>
      </c>
      <c r="T27">
        <v>222</v>
      </c>
      <c r="U27">
        <v>0.92051000000000005</v>
      </c>
      <c r="V27">
        <v>0.84252000000000005</v>
      </c>
      <c r="W27">
        <v>1.83</v>
      </c>
      <c r="X27">
        <v>222</v>
      </c>
      <c r="Y27">
        <v>0.995</v>
      </c>
      <c r="Z27">
        <v>244</v>
      </c>
      <c r="AA27">
        <v>222</v>
      </c>
      <c r="AB27">
        <v>0.81535999999999997</v>
      </c>
      <c r="AC27">
        <v>0.89056000000000002</v>
      </c>
      <c r="AD27">
        <v>1.83</v>
      </c>
      <c r="AE27">
        <v>216</v>
      </c>
      <c r="AF27">
        <v>0.90300000000000002</v>
      </c>
      <c r="AG27">
        <v>244</v>
      </c>
      <c r="AH27">
        <v>222</v>
      </c>
    </row>
    <row r="28" spans="1:34" x14ac:dyDescent="0.2">
      <c r="A28" t="s">
        <v>394</v>
      </c>
      <c r="B28" t="s">
        <v>265</v>
      </c>
      <c r="C28">
        <v>2</v>
      </c>
      <c r="D28" t="s">
        <v>14</v>
      </c>
      <c r="E28" t="str">
        <f t="shared" si="0"/>
        <v>7XVG.A</v>
      </c>
      <c r="F28" t="s">
        <v>261</v>
      </c>
      <c r="G28" t="s">
        <v>251</v>
      </c>
      <c r="H28">
        <v>0</v>
      </c>
      <c r="I28" t="s">
        <v>395</v>
      </c>
      <c r="J28">
        <v>3.6</v>
      </c>
      <c r="K28" t="s">
        <v>333</v>
      </c>
      <c r="L28" t="s">
        <v>398</v>
      </c>
      <c r="M28" t="s">
        <v>266</v>
      </c>
      <c r="N28">
        <v>0.67706999999999995</v>
      </c>
      <c r="O28">
        <v>0.68149999999999999</v>
      </c>
      <c r="P28">
        <v>3.2</v>
      </c>
      <c r="Q28">
        <v>113</v>
      </c>
      <c r="R28">
        <v>0.77</v>
      </c>
      <c r="S28">
        <v>131</v>
      </c>
      <c r="T28">
        <v>130</v>
      </c>
      <c r="U28">
        <v>0.95804999999999996</v>
      </c>
      <c r="V28">
        <v>0.95079000000000002</v>
      </c>
      <c r="W28">
        <v>0.69</v>
      </c>
      <c r="X28">
        <v>126</v>
      </c>
      <c r="Y28">
        <v>1</v>
      </c>
      <c r="Z28">
        <v>131</v>
      </c>
      <c r="AA28">
        <v>130</v>
      </c>
      <c r="AB28">
        <v>0.72652000000000005</v>
      </c>
      <c r="AC28">
        <v>0.73146999999999995</v>
      </c>
      <c r="AD28">
        <v>2.57</v>
      </c>
      <c r="AE28">
        <v>113</v>
      </c>
      <c r="AF28">
        <v>0.73499999999999999</v>
      </c>
      <c r="AG28">
        <v>131</v>
      </c>
      <c r="AH28">
        <v>130</v>
      </c>
    </row>
    <row r="29" spans="1:34" x14ac:dyDescent="0.2">
      <c r="A29" t="s">
        <v>393</v>
      </c>
      <c r="B29" t="s">
        <v>291</v>
      </c>
      <c r="C29">
        <v>2</v>
      </c>
      <c r="D29" t="s">
        <v>68</v>
      </c>
      <c r="E29" t="str">
        <f t="shared" si="0"/>
        <v>8EBB.C</v>
      </c>
      <c r="F29" t="s">
        <v>290</v>
      </c>
      <c r="G29" t="s">
        <v>241</v>
      </c>
      <c r="H29">
        <v>0</v>
      </c>
      <c r="I29" t="s">
        <v>332</v>
      </c>
      <c r="J29">
        <v>1.88</v>
      </c>
      <c r="K29" t="s">
        <v>365</v>
      </c>
      <c r="L29" t="s">
        <v>365</v>
      </c>
      <c r="M29" t="s">
        <v>288</v>
      </c>
      <c r="N29">
        <v>0.67791000000000001</v>
      </c>
      <c r="O29">
        <v>0.68235000000000001</v>
      </c>
      <c r="P29">
        <v>3.2</v>
      </c>
      <c r="Q29">
        <v>113</v>
      </c>
      <c r="R29">
        <v>0.77</v>
      </c>
      <c r="S29">
        <v>131</v>
      </c>
      <c r="T29">
        <v>130</v>
      </c>
      <c r="U29">
        <v>0.95867000000000002</v>
      </c>
      <c r="V29">
        <v>0.95140000000000002</v>
      </c>
      <c r="W29">
        <v>0.68</v>
      </c>
      <c r="X29">
        <v>126</v>
      </c>
      <c r="Y29">
        <v>1</v>
      </c>
      <c r="Z29">
        <v>131</v>
      </c>
      <c r="AA29">
        <v>130</v>
      </c>
      <c r="AB29">
        <v>0.72033999999999998</v>
      </c>
      <c r="AC29">
        <v>0.72526000000000002</v>
      </c>
      <c r="AD29">
        <v>2.38</v>
      </c>
      <c r="AE29">
        <v>111</v>
      </c>
      <c r="AF29">
        <v>0.79300000000000004</v>
      </c>
      <c r="AG29">
        <v>131</v>
      </c>
      <c r="AH29">
        <v>130</v>
      </c>
    </row>
    <row r="30" spans="1:34" x14ac:dyDescent="0.2">
      <c r="A30" t="s">
        <v>340</v>
      </c>
      <c r="B30" t="s">
        <v>306</v>
      </c>
      <c r="C30">
        <v>2</v>
      </c>
      <c r="D30" t="s">
        <v>14</v>
      </c>
      <c r="E30" t="str">
        <f t="shared" si="0"/>
        <v>8R7A.A</v>
      </c>
      <c r="F30" t="s">
        <v>307</v>
      </c>
      <c r="G30" t="s">
        <v>208</v>
      </c>
      <c r="H30">
        <v>0</v>
      </c>
      <c r="I30" t="s">
        <v>332</v>
      </c>
      <c r="J30">
        <v>1.8</v>
      </c>
      <c r="K30" t="s">
        <v>333</v>
      </c>
      <c r="L30" t="s">
        <v>402</v>
      </c>
      <c r="M30" t="s">
        <v>308</v>
      </c>
      <c r="N30">
        <v>0.79468000000000005</v>
      </c>
      <c r="O30">
        <v>0.82255</v>
      </c>
      <c r="P30">
        <v>2.1800000000000002</v>
      </c>
      <c r="Q30">
        <v>74</v>
      </c>
      <c r="R30">
        <v>1</v>
      </c>
      <c r="S30">
        <v>80</v>
      </c>
      <c r="T30">
        <v>77</v>
      </c>
      <c r="U30">
        <v>0.73053999999999997</v>
      </c>
      <c r="V30">
        <v>0.70767000000000002</v>
      </c>
      <c r="W30">
        <v>2.68</v>
      </c>
      <c r="X30">
        <v>72</v>
      </c>
      <c r="Y30">
        <v>0.86099999999999999</v>
      </c>
      <c r="Z30">
        <v>80</v>
      </c>
      <c r="AA30">
        <v>77</v>
      </c>
      <c r="AB30">
        <v>0.74134999999999995</v>
      </c>
      <c r="AC30">
        <v>0.76651999999999998</v>
      </c>
      <c r="AD30">
        <v>2.25</v>
      </c>
      <c r="AE30">
        <v>71</v>
      </c>
      <c r="AF30">
        <v>0.77500000000000002</v>
      </c>
      <c r="AG30">
        <v>80</v>
      </c>
      <c r="AH30">
        <v>77</v>
      </c>
    </row>
    <row r="31" spans="1:34" x14ac:dyDescent="0.2">
      <c r="A31" t="s">
        <v>372</v>
      </c>
      <c r="B31" t="s">
        <v>317</v>
      </c>
      <c r="C31">
        <v>2</v>
      </c>
      <c r="D31" t="s">
        <v>14</v>
      </c>
      <c r="E31" t="str">
        <f t="shared" si="0"/>
        <v>9FYC.A</v>
      </c>
      <c r="F31" t="s">
        <v>318</v>
      </c>
      <c r="G31" t="s">
        <v>319</v>
      </c>
      <c r="H31">
        <v>0</v>
      </c>
      <c r="I31" t="s">
        <v>395</v>
      </c>
      <c r="J31">
        <v>3.8</v>
      </c>
      <c r="K31" t="s">
        <v>333</v>
      </c>
      <c r="L31" t="s">
        <v>407</v>
      </c>
      <c r="M31" t="s">
        <v>320</v>
      </c>
      <c r="N31">
        <v>0.86446999999999996</v>
      </c>
      <c r="O31">
        <v>0.94089999999999996</v>
      </c>
      <c r="P31">
        <v>0.83</v>
      </c>
      <c r="Q31">
        <v>74</v>
      </c>
      <c r="R31">
        <v>1</v>
      </c>
      <c r="S31">
        <v>81</v>
      </c>
      <c r="T31">
        <v>74</v>
      </c>
      <c r="U31">
        <v>0.52569999999999995</v>
      </c>
      <c r="V31">
        <v>0.49752000000000002</v>
      </c>
      <c r="W31">
        <v>3.37</v>
      </c>
      <c r="X31">
        <v>67</v>
      </c>
      <c r="Y31">
        <v>0.373</v>
      </c>
      <c r="Z31">
        <v>81</v>
      </c>
      <c r="AA31">
        <v>74</v>
      </c>
      <c r="AB31">
        <v>0.28895999999999999</v>
      </c>
      <c r="AC31">
        <v>0.30277999999999999</v>
      </c>
      <c r="AD31">
        <v>4.2300000000000004</v>
      </c>
      <c r="AE31">
        <v>46</v>
      </c>
      <c r="AF31">
        <v>0.13</v>
      </c>
      <c r="AG31">
        <v>81</v>
      </c>
      <c r="AH31">
        <v>74</v>
      </c>
    </row>
    <row r="32" spans="1:34" x14ac:dyDescent="0.2">
      <c r="A32" t="s">
        <v>335</v>
      </c>
      <c r="B32" t="s">
        <v>30</v>
      </c>
      <c r="C32">
        <v>1</v>
      </c>
      <c r="D32" t="s">
        <v>14</v>
      </c>
      <c r="E32" t="str">
        <f t="shared" si="0"/>
        <v>1ZLD.A</v>
      </c>
      <c r="F32" t="s">
        <v>31</v>
      </c>
      <c r="G32" t="s">
        <v>32</v>
      </c>
      <c r="H32">
        <v>1</v>
      </c>
      <c r="I32" t="s">
        <v>332</v>
      </c>
      <c r="J32">
        <v>1.65</v>
      </c>
      <c r="K32" t="s">
        <v>333</v>
      </c>
      <c r="L32" t="s">
        <v>336</v>
      </c>
      <c r="M32" t="s">
        <v>33</v>
      </c>
      <c r="N32">
        <v>0.59402999999999995</v>
      </c>
      <c r="O32">
        <v>0.95198000000000005</v>
      </c>
      <c r="P32">
        <v>0.73</v>
      </c>
      <c r="Q32">
        <v>74</v>
      </c>
      <c r="R32">
        <v>0.97299999999999998</v>
      </c>
      <c r="S32">
        <v>121</v>
      </c>
      <c r="T32">
        <v>74</v>
      </c>
      <c r="U32">
        <v>0.97214</v>
      </c>
      <c r="V32">
        <v>0.60172000000000003</v>
      </c>
      <c r="W32">
        <v>0.53</v>
      </c>
      <c r="X32">
        <v>74</v>
      </c>
      <c r="Y32">
        <v>1</v>
      </c>
      <c r="Z32">
        <v>121</v>
      </c>
      <c r="AA32">
        <v>74</v>
      </c>
      <c r="AB32">
        <v>0.59741999999999995</v>
      </c>
      <c r="AC32">
        <v>0.96004999999999996</v>
      </c>
      <c r="AD32">
        <v>0.64</v>
      </c>
      <c r="AE32">
        <v>74</v>
      </c>
      <c r="AF32">
        <v>1</v>
      </c>
      <c r="AG32">
        <v>121</v>
      </c>
      <c r="AH32">
        <v>74</v>
      </c>
    </row>
    <row r="33" spans="1:34" x14ac:dyDescent="0.2">
      <c r="A33" t="s">
        <v>335</v>
      </c>
      <c r="B33" t="s">
        <v>34</v>
      </c>
      <c r="C33">
        <v>1</v>
      </c>
      <c r="D33" t="s">
        <v>35</v>
      </c>
      <c r="E33" t="str">
        <f t="shared" si="0"/>
        <v>1ZLE.A</v>
      </c>
      <c r="F33" t="s">
        <v>31</v>
      </c>
      <c r="G33" t="s">
        <v>32</v>
      </c>
      <c r="H33">
        <v>1</v>
      </c>
      <c r="I33" t="s">
        <v>332</v>
      </c>
      <c r="J33">
        <v>1.9</v>
      </c>
      <c r="K33" t="s">
        <v>333</v>
      </c>
      <c r="L33" t="s">
        <v>336</v>
      </c>
      <c r="M33" t="s">
        <v>33</v>
      </c>
    </row>
    <row r="34" spans="1:34" x14ac:dyDescent="0.2">
      <c r="A34" t="s">
        <v>337</v>
      </c>
      <c r="B34" t="s">
        <v>36</v>
      </c>
      <c r="C34">
        <v>1</v>
      </c>
      <c r="D34" t="s">
        <v>14</v>
      </c>
      <c r="E34" t="str">
        <f t="shared" si="0"/>
        <v>2LW6.A</v>
      </c>
      <c r="F34" t="s">
        <v>37</v>
      </c>
      <c r="G34" t="s">
        <v>38</v>
      </c>
      <c r="H34">
        <v>1</v>
      </c>
      <c r="I34" t="s">
        <v>328</v>
      </c>
      <c r="J34">
        <v>0</v>
      </c>
      <c r="K34" t="s">
        <v>329</v>
      </c>
      <c r="L34" t="s">
        <v>338</v>
      </c>
      <c r="M34" t="s">
        <v>39</v>
      </c>
      <c r="N34">
        <v>0.73897999999999997</v>
      </c>
      <c r="O34">
        <v>0.81918000000000002</v>
      </c>
      <c r="P34">
        <v>1.89</v>
      </c>
      <c r="Q34">
        <v>78</v>
      </c>
      <c r="R34">
        <v>0.84599999999999997</v>
      </c>
      <c r="S34">
        <v>93</v>
      </c>
      <c r="T34">
        <v>83</v>
      </c>
      <c r="U34">
        <v>0.96606000000000003</v>
      </c>
      <c r="V34">
        <v>0.86482000000000003</v>
      </c>
      <c r="W34">
        <v>0.86</v>
      </c>
      <c r="X34">
        <v>83</v>
      </c>
      <c r="Y34">
        <v>1</v>
      </c>
      <c r="Z34">
        <v>93</v>
      </c>
      <c r="AA34">
        <v>83</v>
      </c>
      <c r="AB34">
        <v>0.86953000000000003</v>
      </c>
      <c r="AC34">
        <v>0.97223000000000004</v>
      </c>
      <c r="AD34">
        <v>0.89</v>
      </c>
      <c r="AE34">
        <v>83</v>
      </c>
      <c r="AF34">
        <v>1</v>
      </c>
      <c r="AG34">
        <v>93</v>
      </c>
      <c r="AH34">
        <v>83</v>
      </c>
    </row>
    <row r="35" spans="1:34" x14ac:dyDescent="0.2">
      <c r="A35" t="s">
        <v>337</v>
      </c>
      <c r="B35" t="s">
        <v>40</v>
      </c>
      <c r="C35">
        <v>1</v>
      </c>
      <c r="D35" t="s">
        <v>14</v>
      </c>
      <c r="E35" t="str">
        <f t="shared" si="0"/>
        <v>2MM0.A</v>
      </c>
      <c r="F35" t="s">
        <v>41</v>
      </c>
      <c r="G35" t="s">
        <v>32</v>
      </c>
      <c r="H35">
        <v>1</v>
      </c>
      <c r="I35" t="s">
        <v>328</v>
      </c>
      <c r="J35">
        <v>0</v>
      </c>
      <c r="K35" t="s">
        <v>329</v>
      </c>
      <c r="L35" t="s">
        <v>339</v>
      </c>
      <c r="M35" t="s">
        <v>42</v>
      </c>
      <c r="N35">
        <v>0.43451000000000001</v>
      </c>
      <c r="O35">
        <v>0.97865999999999997</v>
      </c>
      <c r="P35">
        <v>0.39</v>
      </c>
      <c r="Q35">
        <v>60</v>
      </c>
      <c r="R35">
        <v>1</v>
      </c>
      <c r="S35">
        <v>137</v>
      </c>
      <c r="T35">
        <v>60</v>
      </c>
      <c r="U35">
        <v>0.99019000000000001</v>
      </c>
      <c r="V35">
        <v>0.96157000000000004</v>
      </c>
      <c r="W35">
        <v>0.43</v>
      </c>
      <c r="X35">
        <v>133</v>
      </c>
      <c r="Y35">
        <v>1</v>
      </c>
      <c r="Z35">
        <v>137</v>
      </c>
      <c r="AA35">
        <v>133</v>
      </c>
      <c r="AB35">
        <v>0.433</v>
      </c>
      <c r="AC35">
        <v>0.97407999999999995</v>
      </c>
      <c r="AD35">
        <v>0.5</v>
      </c>
      <c r="AE35">
        <v>60</v>
      </c>
      <c r="AF35">
        <v>1</v>
      </c>
      <c r="AG35">
        <v>137</v>
      </c>
      <c r="AH35">
        <v>60</v>
      </c>
    </row>
    <row r="36" spans="1:34" x14ac:dyDescent="0.2">
      <c r="A36" t="s">
        <v>340</v>
      </c>
      <c r="B36" t="s">
        <v>43</v>
      </c>
      <c r="C36">
        <v>1</v>
      </c>
      <c r="D36" t="s">
        <v>14</v>
      </c>
      <c r="E36" t="str">
        <f t="shared" si="0"/>
        <v>2MM2.A</v>
      </c>
      <c r="F36" t="s">
        <v>44</v>
      </c>
      <c r="G36" t="s">
        <v>32</v>
      </c>
      <c r="H36">
        <v>1</v>
      </c>
      <c r="I36" t="s">
        <v>328</v>
      </c>
      <c r="J36">
        <v>0</v>
      </c>
      <c r="K36" t="s">
        <v>333</v>
      </c>
      <c r="L36" t="s">
        <v>339</v>
      </c>
      <c r="M36" t="s">
        <v>42</v>
      </c>
      <c r="N36">
        <v>0.91459000000000001</v>
      </c>
      <c r="O36">
        <v>0.97292000000000001</v>
      </c>
      <c r="P36">
        <v>1.47</v>
      </c>
      <c r="Q36">
        <v>568</v>
      </c>
      <c r="R36">
        <v>1</v>
      </c>
      <c r="S36">
        <v>605</v>
      </c>
      <c r="T36">
        <v>568</v>
      </c>
      <c r="U36">
        <v>0.99666999999999994</v>
      </c>
      <c r="V36">
        <v>0.93586999999999998</v>
      </c>
      <c r="W36">
        <v>0.49</v>
      </c>
      <c r="X36">
        <v>568</v>
      </c>
      <c r="Y36">
        <v>1</v>
      </c>
      <c r="Z36">
        <v>605</v>
      </c>
      <c r="AA36">
        <v>568</v>
      </c>
      <c r="AB36">
        <v>0.93642999999999998</v>
      </c>
      <c r="AC36">
        <v>0.99729000000000001</v>
      </c>
      <c r="AD36">
        <v>0.44</v>
      </c>
      <c r="AE36">
        <v>568</v>
      </c>
      <c r="AF36">
        <v>1</v>
      </c>
      <c r="AG36">
        <v>605</v>
      </c>
      <c r="AH36">
        <v>568</v>
      </c>
    </row>
    <row r="37" spans="1:34" x14ac:dyDescent="0.2">
      <c r="A37" t="s">
        <v>340</v>
      </c>
      <c r="B37" t="s">
        <v>45</v>
      </c>
      <c r="C37">
        <v>1</v>
      </c>
      <c r="D37" t="s">
        <v>14</v>
      </c>
      <c r="E37" t="str">
        <f t="shared" si="0"/>
        <v>2MYV.A</v>
      </c>
      <c r="F37" t="s">
        <v>46</v>
      </c>
      <c r="G37" t="s">
        <v>47</v>
      </c>
      <c r="H37">
        <v>1</v>
      </c>
      <c r="I37" t="s">
        <v>328</v>
      </c>
      <c r="J37">
        <v>0</v>
      </c>
      <c r="K37" t="s">
        <v>333</v>
      </c>
      <c r="L37" t="s">
        <v>341</v>
      </c>
      <c r="M37" t="s">
        <v>48</v>
      </c>
      <c r="N37">
        <v>0.5675</v>
      </c>
      <c r="O37">
        <v>0.67896999999999996</v>
      </c>
      <c r="P37">
        <v>1.82</v>
      </c>
      <c r="Q37">
        <v>64</v>
      </c>
      <c r="R37">
        <v>1</v>
      </c>
      <c r="S37">
        <v>97</v>
      </c>
      <c r="T37">
        <v>79</v>
      </c>
      <c r="U37">
        <v>0.75146000000000002</v>
      </c>
      <c r="V37">
        <v>0.62231000000000003</v>
      </c>
      <c r="W37">
        <v>1.5</v>
      </c>
      <c r="X37">
        <v>66</v>
      </c>
      <c r="Y37">
        <v>1</v>
      </c>
      <c r="Z37">
        <v>97</v>
      </c>
      <c r="AA37">
        <v>79</v>
      </c>
      <c r="AB37">
        <v>0.61639999999999995</v>
      </c>
      <c r="AC37">
        <v>0.74334999999999996</v>
      </c>
      <c r="AD37">
        <v>1.58</v>
      </c>
      <c r="AE37">
        <v>66</v>
      </c>
      <c r="AF37">
        <v>1</v>
      </c>
      <c r="AG37">
        <v>97</v>
      </c>
      <c r="AH37">
        <v>79</v>
      </c>
    </row>
    <row r="38" spans="1:34" x14ac:dyDescent="0.2">
      <c r="A38" t="s">
        <v>340</v>
      </c>
      <c r="B38" t="s">
        <v>49</v>
      </c>
      <c r="C38">
        <v>1</v>
      </c>
      <c r="D38" t="s">
        <v>14</v>
      </c>
      <c r="E38" t="str">
        <f t="shared" si="0"/>
        <v>2MYW.A</v>
      </c>
      <c r="F38" t="s">
        <v>50</v>
      </c>
      <c r="G38" t="s">
        <v>38</v>
      </c>
      <c r="H38">
        <v>1</v>
      </c>
      <c r="I38" t="s">
        <v>328</v>
      </c>
      <c r="J38">
        <v>0</v>
      </c>
      <c r="K38" t="s">
        <v>333</v>
      </c>
      <c r="L38" t="s">
        <v>341</v>
      </c>
      <c r="M38" t="s">
        <v>48</v>
      </c>
      <c r="N38">
        <v>0.74897999999999998</v>
      </c>
      <c r="O38">
        <v>0.99043999999999999</v>
      </c>
      <c r="P38">
        <v>0.34</v>
      </c>
      <c r="Q38">
        <v>89</v>
      </c>
      <c r="R38">
        <v>0.98899999999999999</v>
      </c>
      <c r="S38">
        <v>118</v>
      </c>
      <c r="T38">
        <v>89</v>
      </c>
      <c r="U38">
        <v>0.97114999999999996</v>
      </c>
      <c r="V38">
        <v>0.73811000000000004</v>
      </c>
      <c r="W38">
        <v>0.61</v>
      </c>
      <c r="X38">
        <v>89</v>
      </c>
      <c r="Y38">
        <v>0.98899999999999999</v>
      </c>
      <c r="Z38">
        <v>118</v>
      </c>
      <c r="AA38">
        <v>89</v>
      </c>
      <c r="AB38">
        <v>0.74443999999999999</v>
      </c>
      <c r="AC38">
        <v>0.98236999999999997</v>
      </c>
      <c r="AD38">
        <v>0.47</v>
      </c>
      <c r="AE38">
        <v>89</v>
      </c>
      <c r="AF38">
        <v>0.98899999999999999</v>
      </c>
      <c r="AG38">
        <v>118</v>
      </c>
      <c r="AH38">
        <v>89</v>
      </c>
    </row>
    <row r="39" spans="1:34" x14ac:dyDescent="0.2">
      <c r="A39" t="s">
        <v>337</v>
      </c>
      <c r="B39" t="s">
        <v>51</v>
      </c>
      <c r="C39">
        <v>1</v>
      </c>
      <c r="D39" t="s">
        <v>14</v>
      </c>
      <c r="E39" t="str">
        <f t="shared" si="0"/>
        <v>2N37.A</v>
      </c>
      <c r="F39" t="s">
        <v>50</v>
      </c>
      <c r="G39" t="s">
        <v>38</v>
      </c>
      <c r="H39">
        <v>1</v>
      </c>
      <c r="I39" t="s">
        <v>328</v>
      </c>
      <c r="J39">
        <v>0</v>
      </c>
      <c r="K39" t="s">
        <v>329</v>
      </c>
      <c r="L39" t="s">
        <v>342</v>
      </c>
      <c r="M39" t="s">
        <v>52</v>
      </c>
      <c r="N39">
        <v>0.84596000000000005</v>
      </c>
      <c r="O39">
        <v>0.87119000000000002</v>
      </c>
      <c r="P39">
        <v>2.02</v>
      </c>
      <c r="Q39">
        <v>121</v>
      </c>
      <c r="R39">
        <v>1</v>
      </c>
      <c r="S39">
        <v>128</v>
      </c>
      <c r="T39">
        <v>124</v>
      </c>
      <c r="U39">
        <v>0.87892000000000003</v>
      </c>
      <c r="V39">
        <v>0.85360999999999998</v>
      </c>
      <c r="W39">
        <v>1.89</v>
      </c>
      <c r="X39">
        <v>122</v>
      </c>
      <c r="Y39">
        <v>0.96699999999999997</v>
      </c>
      <c r="Z39">
        <v>128</v>
      </c>
      <c r="AA39">
        <v>124</v>
      </c>
      <c r="AB39">
        <v>0.89200000000000002</v>
      </c>
      <c r="AC39">
        <v>0.91925000000000001</v>
      </c>
      <c r="AD39">
        <v>1.33</v>
      </c>
      <c r="AE39">
        <v>122</v>
      </c>
      <c r="AF39">
        <v>0.95099999999999996</v>
      </c>
      <c r="AG39">
        <v>128</v>
      </c>
      <c r="AH39">
        <v>124</v>
      </c>
    </row>
    <row r="40" spans="1:34" x14ac:dyDescent="0.2">
      <c r="A40" t="s">
        <v>327</v>
      </c>
      <c r="B40" t="s">
        <v>53</v>
      </c>
      <c r="C40">
        <v>1</v>
      </c>
      <c r="D40" t="s">
        <v>14</v>
      </c>
      <c r="E40" t="str">
        <f t="shared" si="0"/>
        <v>2N4O.A</v>
      </c>
      <c r="F40" t="s">
        <v>54</v>
      </c>
      <c r="G40" t="s">
        <v>55</v>
      </c>
      <c r="H40">
        <v>1</v>
      </c>
      <c r="I40" t="s">
        <v>328</v>
      </c>
      <c r="J40">
        <v>0</v>
      </c>
      <c r="K40" t="s">
        <v>329</v>
      </c>
      <c r="L40" t="s">
        <v>343</v>
      </c>
      <c r="M40" t="s">
        <v>56</v>
      </c>
      <c r="N40">
        <v>0.20608000000000001</v>
      </c>
      <c r="O40">
        <v>0.22303999999999999</v>
      </c>
      <c r="P40">
        <v>4.7699999999999996</v>
      </c>
      <c r="Q40">
        <v>40</v>
      </c>
      <c r="R40">
        <v>2.5000000000000001E-2</v>
      </c>
      <c r="S40">
        <v>91</v>
      </c>
      <c r="T40">
        <v>77</v>
      </c>
      <c r="U40">
        <v>0.46226</v>
      </c>
      <c r="V40">
        <v>0.40927000000000002</v>
      </c>
      <c r="W40">
        <v>3.43</v>
      </c>
      <c r="X40">
        <v>55</v>
      </c>
      <c r="Y40">
        <v>0.67300000000000004</v>
      </c>
      <c r="Z40">
        <v>91</v>
      </c>
      <c r="AA40">
        <v>77</v>
      </c>
      <c r="AB40">
        <v>0.52373000000000003</v>
      </c>
      <c r="AC40">
        <v>0.60348000000000002</v>
      </c>
      <c r="AD40">
        <v>2.3199999999999998</v>
      </c>
      <c r="AE40">
        <v>58</v>
      </c>
      <c r="AF40">
        <v>0.81</v>
      </c>
      <c r="AG40">
        <v>91</v>
      </c>
      <c r="AH40">
        <v>77</v>
      </c>
    </row>
    <row r="41" spans="1:34" x14ac:dyDescent="0.2">
      <c r="A41" t="s">
        <v>335</v>
      </c>
      <c r="B41" t="s">
        <v>57</v>
      </c>
      <c r="C41">
        <v>1</v>
      </c>
      <c r="D41" t="s">
        <v>14</v>
      </c>
      <c r="E41" t="str">
        <f t="shared" si="0"/>
        <v>2OPC.A</v>
      </c>
      <c r="F41" t="s">
        <v>58</v>
      </c>
      <c r="G41" t="s">
        <v>59</v>
      </c>
      <c r="H41">
        <v>1</v>
      </c>
      <c r="I41" t="s">
        <v>332</v>
      </c>
      <c r="J41">
        <v>1.43</v>
      </c>
      <c r="K41" t="s">
        <v>333</v>
      </c>
      <c r="L41" t="s">
        <v>344</v>
      </c>
      <c r="M41" t="s">
        <v>60</v>
      </c>
      <c r="N41">
        <v>0.73416999999999999</v>
      </c>
      <c r="O41">
        <v>0.92569999999999997</v>
      </c>
      <c r="P41">
        <v>1.42</v>
      </c>
      <c r="Q41">
        <v>119</v>
      </c>
      <c r="R41">
        <v>1</v>
      </c>
      <c r="S41">
        <v>155</v>
      </c>
      <c r="T41">
        <v>122</v>
      </c>
      <c r="U41">
        <v>0.96394999999999997</v>
      </c>
      <c r="V41">
        <v>0.76275000000000004</v>
      </c>
      <c r="W41">
        <v>0.79</v>
      </c>
      <c r="X41">
        <v>121</v>
      </c>
      <c r="Y41">
        <v>0.99199999999999999</v>
      </c>
      <c r="Z41">
        <v>155</v>
      </c>
      <c r="AA41">
        <v>122</v>
      </c>
      <c r="AB41">
        <v>0.75895999999999997</v>
      </c>
      <c r="AC41">
        <v>0.95792999999999995</v>
      </c>
      <c r="AD41">
        <v>0.85</v>
      </c>
      <c r="AE41">
        <v>121</v>
      </c>
      <c r="AF41">
        <v>0.99199999999999999</v>
      </c>
      <c r="AG41">
        <v>155</v>
      </c>
      <c r="AH41">
        <v>122</v>
      </c>
    </row>
    <row r="42" spans="1:34" x14ac:dyDescent="0.2">
      <c r="A42" t="s">
        <v>335</v>
      </c>
      <c r="B42" t="s">
        <v>61</v>
      </c>
      <c r="C42">
        <v>1</v>
      </c>
      <c r="D42" t="s">
        <v>14</v>
      </c>
      <c r="E42" t="str">
        <f t="shared" si="0"/>
        <v>2QVT.A</v>
      </c>
      <c r="F42" t="s">
        <v>62</v>
      </c>
      <c r="G42" t="s">
        <v>59</v>
      </c>
      <c r="H42">
        <v>1</v>
      </c>
      <c r="I42" t="s">
        <v>332</v>
      </c>
      <c r="J42">
        <v>2.2599999999999998</v>
      </c>
      <c r="K42" t="s">
        <v>329</v>
      </c>
      <c r="L42" t="s">
        <v>345</v>
      </c>
      <c r="M42" t="s">
        <v>63</v>
      </c>
      <c r="N42">
        <v>4.6870000000000002E-2</v>
      </c>
      <c r="O42">
        <v>0.99968000000000001</v>
      </c>
      <c r="P42">
        <v>0.01</v>
      </c>
      <c r="Q42">
        <v>3</v>
      </c>
      <c r="R42">
        <v>0.33300000000000002</v>
      </c>
      <c r="S42">
        <v>64</v>
      </c>
      <c r="T42">
        <v>3</v>
      </c>
      <c r="U42">
        <v>0.91683999999999999</v>
      </c>
      <c r="V42">
        <v>0.80732000000000004</v>
      </c>
      <c r="W42">
        <v>0.74</v>
      </c>
      <c r="X42">
        <v>54</v>
      </c>
      <c r="Y42">
        <v>1</v>
      </c>
      <c r="Z42">
        <v>64</v>
      </c>
      <c r="AA42">
        <v>56</v>
      </c>
      <c r="AB42">
        <v>4.6870000000000002E-2</v>
      </c>
      <c r="AC42">
        <v>0.99973000000000001</v>
      </c>
      <c r="AD42">
        <v>0.01</v>
      </c>
      <c r="AE42">
        <v>3</v>
      </c>
      <c r="AF42">
        <v>0</v>
      </c>
      <c r="AG42">
        <v>64</v>
      </c>
      <c r="AH42">
        <v>3</v>
      </c>
    </row>
    <row r="43" spans="1:34" x14ac:dyDescent="0.2">
      <c r="A43" t="s">
        <v>346</v>
      </c>
      <c r="B43" t="s">
        <v>64</v>
      </c>
      <c r="C43">
        <v>2</v>
      </c>
      <c r="D43" t="s">
        <v>26</v>
      </c>
      <c r="E43" t="str">
        <f t="shared" si="0"/>
        <v>31EE.A</v>
      </c>
      <c r="F43" t="s">
        <v>65</v>
      </c>
      <c r="G43" t="s">
        <v>16</v>
      </c>
      <c r="H43">
        <v>1</v>
      </c>
      <c r="I43">
        <v>0</v>
      </c>
      <c r="J43">
        <v>1.81</v>
      </c>
      <c r="K43" t="s">
        <v>325</v>
      </c>
      <c r="L43" t="s">
        <v>347</v>
      </c>
      <c r="M43" t="s">
        <v>66</v>
      </c>
    </row>
    <row r="44" spans="1:34" x14ac:dyDescent="0.2">
      <c r="A44" t="s">
        <v>348</v>
      </c>
      <c r="B44" t="s">
        <v>70</v>
      </c>
      <c r="C44">
        <v>1</v>
      </c>
      <c r="D44" t="s">
        <v>14</v>
      </c>
      <c r="E44" t="str">
        <f t="shared" si="0"/>
        <v>4B8V.A</v>
      </c>
      <c r="F44" t="s">
        <v>71</v>
      </c>
      <c r="G44" t="s">
        <v>72</v>
      </c>
      <c r="H44">
        <v>1</v>
      </c>
      <c r="I44" t="s">
        <v>332</v>
      </c>
      <c r="J44">
        <v>1.59</v>
      </c>
      <c r="K44" t="s">
        <v>329</v>
      </c>
      <c r="L44" t="s">
        <v>349</v>
      </c>
      <c r="M44" t="s">
        <v>73</v>
      </c>
      <c r="N44">
        <v>0.23227</v>
      </c>
      <c r="O44">
        <v>0.26288</v>
      </c>
      <c r="P44">
        <v>3.95</v>
      </c>
      <c r="Q44">
        <v>32</v>
      </c>
      <c r="R44">
        <v>3.1E-2</v>
      </c>
      <c r="S44">
        <v>77</v>
      </c>
      <c r="T44">
        <v>62</v>
      </c>
      <c r="U44">
        <v>0.92156000000000005</v>
      </c>
      <c r="V44">
        <v>0.74863999999999997</v>
      </c>
      <c r="W44">
        <v>1.39</v>
      </c>
      <c r="X44">
        <v>61</v>
      </c>
      <c r="Y44">
        <v>0.96699999999999997</v>
      </c>
      <c r="Z44">
        <v>77</v>
      </c>
      <c r="AA44">
        <v>62</v>
      </c>
      <c r="AB44">
        <v>0.72594999999999998</v>
      </c>
      <c r="AC44">
        <v>0.89015</v>
      </c>
      <c r="AD44">
        <v>1.42</v>
      </c>
      <c r="AE44">
        <v>60</v>
      </c>
      <c r="AF44">
        <v>1</v>
      </c>
      <c r="AG44">
        <v>77</v>
      </c>
      <c r="AH44">
        <v>62</v>
      </c>
    </row>
    <row r="45" spans="1:34" x14ac:dyDescent="0.2">
      <c r="A45" t="s">
        <v>348</v>
      </c>
      <c r="B45" t="s">
        <v>74</v>
      </c>
      <c r="C45">
        <v>1</v>
      </c>
      <c r="D45" t="s">
        <v>14</v>
      </c>
      <c r="E45" t="str">
        <f t="shared" si="0"/>
        <v>4B9H.A</v>
      </c>
      <c r="F45" t="s">
        <v>71</v>
      </c>
      <c r="G45" t="s">
        <v>72</v>
      </c>
      <c r="H45">
        <v>1</v>
      </c>
      <c r="I45" t="s">
        <v>332</v>
      </c>
      <c r="J45">
        <v>2.1</v>
      </c>
      <c r="K45" t="s">
        <v>333</v>
      </c>
      <c r="L45" t="s">
        <v>350</v>
      </c>
      <c r="M45" t="s">
        <v>75</v>
      </c>
      <c r="N45">
        <v>0.96206999999999998</v>
      </c>
      <c r="O45">
        <v>0.96206999999999998</v>
      </c>
      <c r="P45">
        <v>0.91</v>
      </c>
      <c r="Q45">
        <v>79</v>
      </c>
      <c r="R45">
        <v>1</v>
      </c>
      <c r="S45">
        <v>79</v>
      </c>
      <c r="T45">
        <v>79</v>
      </c>
      <c r="U45">
        <v>0.93700000000000006</v>
      </c>
      <c r="V45">
        <v>0.93700000000000006</v>
      </c>
      <c r="W45">
        <v>1.48</v>
      </c>
      <c r="X45">
        <v>79</v>
      </c>
      <c r="Y45">
        <v>1</v>
      </c>
      <c r="Z45">
        <v>79</v>
      </c>
      <c r="AA45">
        <v>79</v>
      </c>
      <c r="AB45">
        <v>0.96094999999999997</v>
      </c>
      <c r="AC45">
        <v>0.96094999999999997</v>
      </c>
      <c r="AD45">
        <v>0.81</v>
      </c>
      <c r="AE45">
        <v>79</v>
      </c>
      <c r="AF45">
        <v>1</v>
      </c>
      <c r="AG45">
        <v>79</v>
      </c>
      <c r="AH45">
        <v>79</v>
      </c>
    </row>
    <row r="46" spans="1:34" x14ac:dyDescent="0.2">
      <c r="A46" t="s">
        <v>351</v>
      </c>
      <c r="B46" t="s">
        <v>76</v>
      </c>
      <c r="C46">
        <v>1</v>
      </c>
      <c r="D46" t="s">
        <v>77</v>
      </c>
      <c r="E46" t="str">
        <f t="shared" si="0"/>
        <v>4BJM.A</v>
      </c>
      <c r="F46" t="s">
        <v>78</v>
      </c>
      <c r="G46" t="s">
        <v>79</v>
      </c>
      <c r="H46">
        <v>1</v>
      </c>
      <c r="I46" t="s">
        <v>332</v>
      </c>
      <c r="J46">
        <v>2.6</v>
      </c>
      <c r="K46" t="s">
        <v>329</v>
      </c>
      <c r="L46" t="s">
        <v>352</v>
      </c>
      <c r="M46" t="s">
        <v>80</v>
      </c>
      <c r="N46">
        <v>0.88753000000000004</v>
      </c>
      <c r="O46">
        <v>0.89615999999999996</v>
      </c>
      <c r="P46">
        <v>1.63</v>
      </c>
      <c r="Q46">
        <v>95</v>
      </c>
      <c r="R46">
        <v>0.94699999999999995</v>
      </c>
      <c r="S46">
        <v>98</v>
      </c>
      <c r="T46">
        <v>97</v>
      </c>
      <c r="U46">
        <v>0.89490999999999998</v>
      </c>
      <c r="V46">
        <v>0.88629999999999998</v>
      </c>
      <c r="W46">
        <v>1.65</v>
      </c>
      <c r="X46">
        <v>95</v>
      </c>
      <c r="Y46">
        <v>0.94699999999999995</v>
      </c>
      <c r="Z46">
        <v>98</v>
      </c>
      <c r="AA46">
        <v>97</v>
      </c>
      <c r="AB46">
        <v>0.88222999999999996</v>
      </c>
      <c r="AC46">
        <v>0.89075000000000004</v>
      </c>
      <c r="AD46">
        <v>1.42</v>
      </c>
      <c r="AE46">
        <v>94</v>
      </c>
      <c r="AF46">
        <v>0.95699999999999996</v>
      </c>
      <c r="AG46">
        <v>98</v>
      </c>
      <c r="AH46">
        <v>97</v>
      </c>
    </row>
    <row r="47" spans="1:34" x14ac:dyDescent="0.2">
      <c r="A47" t="s">
        <v>351</v>
      </c>
      <c r="B47" t="s">
        <v>81</v>
      </c>
      <c r="C47">
        <v>1</v>
      </c>
      <c r="D47" t="s">
        <v>82</v>
      </c>
      <c r="E47" t="str">
        <f t="shared" si="0"/>
        <v>4BJN.A</v>
      </c>
      <c r="F47" t="s">
        <v>83</v>
      </c>
      <c r="G47" t="s">
        <v>79</v>
      </c>
      <c r="H47">
        <v>1</v>
      </c>
      <c r="I47" t="s">
        <v>332</v>
      </c>
      <c r="J47">
        <v>2.9</v>
      </c>
      <c r="K47" t="s">
        <v>333</v>
      </c>
      <c r="L47" t="s">
        <v>352</v>
      </c>
      <c r="M47" t="s">
        <v>80</v>
      </c>
    </row>
    <row r="48" spans="1:34" x14ac:dyDescent="0.2">
      <c r="A48" t="s">
        <v>353</v>
      </c>
      <c r="B48" t="s">
        <v>84</v>
      </c>
      <c r="C48">
        <v>1</v>
      </c>
      <c r="D48" t="s">
        <v>77</v>
      </c>
      <c r="E48" t="str">
        <f t="shared" si="0"/>
        <v>4FPQ.A</v>
      </c>
      <c r="F48" t="s">
        <v>85</v>
      </c>
      <c r="G48" t="s">
        <v>86</v>
      </c>
      <c r="H48">
        <v>1</v>
      </c>
      <c r="I48" t="s">
        <v>332</v>
      </c>
      <c r="J48">
        <v>2.2999999999999998</v>
      </c>
      <c r="K48" t="s">
        <v>333</v>
      </c>
      <c r="L48" t="s">
        <v>354</v>
      </c>
      <c r="M48" t="s">
        <v>87</v>
      </c>
      <c r="N48">
        <v>0.74760000000000004</v>
      </c>
      <c r="O48">
        <v>0.82077999999999995</v>
      </c>
      <c r="P48">
        <v>1.84</v>
      </c>
      <c r="Q48">
        <v>78</v>
      </c>
      <c r="R48">
        <v>0.84599999999999997</v>
      </c>
      <c r="S48">
        <v>93</v>
      </c>
      <c r="T48">
        <v>84</v>
      </c>
      <c r="U48">
        <v>0.96275999999999995</v>
      </c>
      <c r="V48">
        <v>0.87107000000000001</v>
      </c>
      <c r="W48">
        <v>0.83</v>
      </c>
      <c r="X48">
        <v>83</v>
      </c>
      <c r="Y48">
        <v>1</v>
      </c>
      <c r="Z48">
        <v>93</v>
      </c>
      <c r="AA48">
        <v>84</v>
      </c>
      <c r="AB48">
        <v>0.87212999999999996</v>
      </c>
      <c r="AC48">
        <v>0.96416999999999997</v>
      </c>
      <c r="AD48">
        <v>0.87</v>
      </c>
      <c r="AE48">
        <v>83</v>
      </c>
      <c r="AF48">
        <v>1</v>
      </c>
      <c r="AG48">
        <v>93</v>
      </c>
      <c r="AH48">
        <v>84</v>
      </c>
    </row>
    <row r="49" spans="1:34" x14ac:dyDescent="0.2">
      <c r="A49" t="s">
        <v>353</v>
      </c>
      <c r="B49" t="s">
        <v>88</v>
      </c>
      <c r="C49">
        <v>1</v>
      </c>
      <c r="D49" t="s">
        <v>77</v>
      </c>
      <c r="E49" t="str">
        <f t="shared" si="0"/>
        <v>4FPR.A</v>
      </c>
      <c r="F49" t="s">
        <v>85</v>
      </c>
      <c r="G49" t="s">
        <v>86</v>
      </c>
      <c r="H49">
        <v>1</v>
      </c>
      <c r="I49" t="s">
        <v>332</v>
      </c>
      <c r="J49">
        <v>2.4</v>
      </c>
      <c r="K49" t="s">
        <v>329</v>
      </c>
      <c r="L49" t="s">
        <v>354</v>
      </c>
      <c r="M49" t="s">
        <v>87</v>
      </c>
      <c r="N49">
        <v>0.74424000000000001</v>
      </c>
      <c r="O49">
        <v>0.74424000000000001</v>
      </c>
      <c r="P49">
        <v>1.83</v>
      </c>
      <c r="Q49">
        <v>78</v>
      </c>
      <c r="R49">
        <v>0.84599999999999997</v>
      </c>
      <c r="S49">
        <v>93</v>
      </c>
      <c r="T49">
        <v>93</v>
      </c>
      <c r="U49">
        <v>0.87253000000000003</v>
      </c>
      <c r="V49">
        <v>0.87253000000000003</v>
      </c>
      <c r="W49">
        <v>1.1499999999999999</v>
      </c>
      <c r="X49">
        <v>84</v>
      </c>
      <c r="Y49">
        <v>1</v>
      </c>
      <c r="Z49">
        <v>93</v>
      </c>
      <c r="AA49">
        <v>93</v>
      </c>
      <c r="AB49">
        <v>0.89327999999999996</v>
      </c>
      <c r="AC49">
        <v>0.89327999999999996</v>
      </c>
      <c r="AD49">
        <v>1.29</v>
      </c>
      <c r="AE49">
        <v>88</v>
      </c>
      <c r="AF49">
        <v>1</v>
      </c>
      <c r="AG49">
        <v>93</v>
      </c>
      <c r="AH49">
        <v>93</v>
      </c>
    </row>
    <row r="50" spans="1:34" x14ac:dyDescent="0.2">
      <c r="A50" t="s">
        <v>355</v>
      </c>
      <c r="B50" t="s">
        <v>89</v>
      </c>
      <c r="C50">
        <v>2</v>
      </c>
      <c r="D50" t="s">
        <v>14</v>
      </c>
      <c r="E50" t="str">
        <f t="shared" si="0"/>
        <v>4GVB.A</v>
      </c>
      <c r="F50" t="s">
        <v>90</v>
      </c>
      <c r="G50" t="s">
        <v>91</v>
      </c>
      <c r="H50">
        <v>1</v>
      </c>
      <c r="I50" t="s">
        <v>332</v>
      </c>
      <c r="J50">
        <v>1.8</v>
      </c>
      <c r="K50" t="s">
        <v>333</v>
      </c>
      <c r="L50" t="s">
        <v>356</v>
      </c>
      <c r="M50" t="s">
        <v>73</v>
      </c>
    </row>
    <row r="51" spans="1:34" x14ac:dyDescent="0.2">
      <c r="A51" t="s">
        <v>355</v>
      </c>
      <c r="B51" t="s">
        <v>92</v>
      </c>
      <c r="C51">
        <v>2</v>
      </c>
      <c r="D51" t="s">
        <v>19</v>
      </c>
      <c r="E51" t="str">
        <f t="shared" si="0"/>
        <v>4GVB.B</v>
      </c>
      <c r="F51" t="s">
        <v>93</v>
      </c>
      <c r="G51" t="s">
        <v>91</v>
      </c>
      <c r="H51">
        <v>1</v>
      </c>
      <c r="I51" t="s">
        <v>332</v>
      </c>
      <c r="J51">
        <v>1.8</v>
      </c>
      <c r="K51" t="s">
        <v>333</v>
      </c>
      <c r="L51" t="s">
        <v>356</v>
      </c>
      <c r="M51" t="s">
        <v>73</v>
      </c>
    </row>
    <row r="52" spans="1:34" x14ac:dyDescent="0.2">
      <c r="A52" t="s">
        <v>357</v>
      </c>
      <c r="B52" t="s">
        <v>94</v>
      </c>
      <c r="C52">
        <v>1</v>
      </c>
      <c r="D52" t="s">
        <v>26</v>
      </c>
      <c r="E52" t="str">
        <f t="shared" si="0"/>
        <v>4Z4A.A</v>
      </c>
      <c r="F52" t="s">
        <v>95</v>
      </c>
      <c r="G52" t="s">
        <v>96</v>
      </c>
      <c r="H52">
        <v>1</v>
      </c>
      <c r="I52" t="s">
        <v>332</v>
      </c>
      <c r="J52">
        <v>1.7</v>
      </c>
      <c r="K52" t="s">
        <v>329</v>
      </c>
      <c r="L52" t="s">
        <v>358</v>
      </c>
      <c r="M52" t="s">
        <v>97</v>
      </c>
      <c r="N52">
        <v>0.75183</v>
      </c>
      <c r="O52">
        <v>0.85394999999999999</v>
      </c>
      <c r="P52">
        <v>1.52</v>
      </c>
      <c r="Q52">
        <v>77</v>
      </c>
      <c r="R52">
        <v>0.85699999999999998</v>
      </c>
      <c r="S52">
        <v>93</v>
      </c>
      <c r="T52">
        <v>81</v>
      </c>
      <c r="U52">
        <v>0.99168999999999996</v>
      </c>
      <c r="V52">
        <v>0.86482999999999999</v>
      </c>
      <c r="W52">
        <v>0.3</v>
      </c>
      <c r="X52">
        <v>81</v>
      </c>
      <c r="Y52">
        <v>1</v>
      </c>
      <c r="Z52">
        <v>93</v>
      </c>
      <c r="AA52">
        <v>81</v>
      </c>
      <c r="AB52">
        <v>0.86092000000000002</v>
      </c>
      <c r="AC52">
        <v>0.98640000000000005</v>
      </c>
      <c r="AD52">
        <v>0.38</v>
      </c>
      <c r="AE52">
        <v>81</v>
      </c>
      <c r="AF52">
        <v>1</v>
      </c>
      <c r="AG52">
        <v>93</v>
      </c>
      <c r="AH52">
        <v>81</v>
      </c>
    </row>
    <row r="53" spans="1:34" x14ac:dyDescent="0.2">
      <c r="A53" t="s">
        <v>340</v>
      </c>
      <c r="B53" t="s">
        <v>102</v>
      </c>
      <c r="C53">
        <v>2</v>
      </c>
      <c r="D53" t="s">
        <v>68</v>
      </c>
      <c r="E53" t="str">
        <f t="shared" si="0"/>
        <v>5A6W.C</v>
      </c>
      <c r="F53" t="s">
        <v>103</v>
      </c>
      <c r="G53" t="s">
        <v>104</v>
      </c>
      <c r="H53">
        <v>1</v>
      </c>
      <c r="I53" t="s">
        <v>332</v>
      </c>
      <c r="J53">
        <v>1.6</v>
      </c>
      <c r="K53" t="s">
        <v>333</v>
      </c>
      <c r="L53" t="s">
        <v>359</v>
      </c>
      <c r="M53" t="s">
        <v>101</v>
      </c>
    </row>
    <row r="54" spans="1:34" x14ac:dyDescent="0.2">
      <c r="A54" t="s">
        <v>360</v>
      </c>
      <c r="B54" t="s">
        <v>105</v>
      </c>
      <c r="C54">
        <v>1</v>
      </c>
      <c r="D54" t="s">
        <v>26</v>
      </c>
      <c r="E54" t="str">
        <f t="shared" si="0"/>
        <v>5FID.A</v>
      </c>
      <c r="F54" t="s">
        <v>106</v>
      </c>
      <c r="G54" t="s">
        <v>38</v>
      </c>
      <c r="H54">
        <v>1</v>
      </c>
      <c r="I54" t="s">
        <v>332</v>
      </c>
      <c r="J54">
        <v>1.8089999999999999</v>
      </c>
      <c r="K54" t="s">
        <v>329</v>
      </c>
      <c r="L54" t="s">
        <v>361</v>
      </c>
      <c r="M54" t="s">
        <v>107</v>
      </c>
      <c r="N54">
        <v>0.73706000000000005</v>
      </c>
      <c r="O54">
        <v>0.81766000000000005</v>
      </c>
      <c r="P54">
        <v>1.7</v>
      </c>
      <c r="Q54">
        <v>77</v>
      </c>
      <c r="R54">
        <v>0.85699999999999998</v>
      </c>
      <c r="S54">
        <v>93</v>
      </c>
      <c r="T54">
        <v>83</v>
      </c>
      <c r="U54">
        <v>0.96592</v>
      </c>
      <c r="V54">
        <v>0.86502000000000001</v>
      </c>
      <c r="W54">
        <v>0.79</v>
      </c>
      <c r="X54">
        <v>83</v>
      </c>
      <c r="Y54">
        <v>1</v>
      </c>
      <c r="Z54">
        <v>93</v>
      </c>
      <c r="AA54">
        <v>83</v>
      </c>
      <c r="AB54">
        <v>0.87017</v>
      </c>
      <c r="AC54">
        <v>0.97262000000000004</v>
      </c>
      <c r="AD54">
        <v>0.77</v>
      </c>
      <c r="AE54">
        <v>83</v>
      </c>
      <c r="AF54">
        <v>1</v>
      </c>
      <c r="AG54">
        <v>93</v>
      </c>
      <c r="AH54">
        <v>83</v>
      </c>
    </row>
    <row r="55" spans="1:34" x14ac:dyDescent="0.2">
      <c r="A55" t="s">
        <v>327</v>
      </c>
      <c r="B55" t="s">
        <v>108</v>
      </c>
      <c r="C55">
        <v>1</v>
      </c>
      <c r="D55" t="s">
        <v>26</v>
      </c>
      <c r="E55" t="str">
        <f t="shared" si="0"/>
        <v>5FNO.A</v>
      </c>
      <c r="F55" t="s">
        <v>109</v>
      </c>
      <c r="G55" t="s">
        <v>104</v>
      </c>
      <c r="H55">
        <v>1</v>
      </c>
      <c r="I55" t="s">
        <v>332</v>
      </c>
      <c r="J55">
        <v>2.0379999999999998</v>
      </c>
      <c r="K55" t="s">
        <v>329</v>
      </c>
      <c r="L55" t="s">
        <v>362</v>
      </c>
      <c r="M55" t="s">
        <v>110</v>
      </c>
      <c r="N55">
        <v>0.73170000000000002</v>
      </c>
      <c r="O55">
        <v>0.81908000000000003</v>
      </c>
      <c r="P55">
        <v>1.95</v>
      </c>
      <c r="Q55">
        <v>78</v>
      </c>
      <c r="R55">
        <v>0.84599999999999997</v>
      </c>
      <c r="S55">
        <v>93</v>
      </c>
      <c r="T55">
        <v>82</v>
      </c>
      <c r="U55">
        <v>0.98528000000000004</v>
      </c>
      <c r="V55">
        <v>0.87056</v>
      </c>
      <c r="W55">
        <v>0.4</v>
      </c>
      <c r="X55">
        <v>82</v>
      </c>
      <c r="Y55">
        <v>1</v>
      </c>
      <c r="Z55">
        <v>93</v>
      </c>
      <c r="AA55">
        <v>82</v>
      </c>
      <c r="AB55">
        <v>0.87407000000000001</v>
      </c>
      <c r="AC55">
        <v>0.99000999999999995</v>
      </c>
      <c r="AD55">
        <v>0.34</v>
      </c>
      <c r="AE55">
        <v>82</v>
      </c>
      <c r="AF55">
        <v>1</v>
      </c>
      <c r="AG55">
        <v>93</v>
      </c>
      <c r="AH55">
        <v>82</v>
      </c>
    </row>
    <row r="56" spans="1:34" x14ac:dyDescent="0.2">
      <c r="A56" t="s">
        <v>340</v>
      </c>
      <c r="B56" t="s">
        <v>111</v>
      </c>
      <c r="C56">
        <v>1</v>
      </c>
      <c r="D56" t="s">
        <v>14</v>
      </c>
      <c r="E56" t="str">
        <f t="shared" si="0"/>
        <v>5JHJ.A</v>
      </c>
      <c r="F56" t="s">
        <v>112</v>
      </c>
      <c r="G56" t="s">
        <v>38</v>
      </c>
      <c r="H56">
        <v>1</v>
      </c>
      <c r="I56" t="s">
        <v>328</v>
      </c>
      <c r="J56">
        <v>0</v>
      </c>
      <c r="K56" t="s">
        <v>333</v>
      </c>
      <c r="L56" t="s">
        <v>363</v>
      </c>
      <c r="M56" t="s">
        <v>113</v>
      </c>
    </row>
    <row r="57" spans="1:34" x14ac:dyDescent="0.2">
      <c r="A57" t="s">
        <v>327</v>
      </c>
      <c r="B57" t="s">
        <v>114</v>
      </c>
      <c r="C57">
        <v>1</v>
      </c>
      <c r="D57" t="s">
        <v>14</v>
      </c>
      <c r="E57" t="str">
        <f t="shared" si="0"/>
        <v>5LOS.A</v>
      </c>
      <c r="F57" t="s">
        <v>115</v>
      </c>
      <c r="G57" t="s">
        <v>116</v>
      </c>
      <c r="H57">
        <v>1</v>
      </c>
      <c r="I57" t="s">
        <v>332</v>
      </c>
      <c r="J57">
        <v>2</v>
      </c>
      <c r="K57" t="s">
        <v>333</v>
      </c>
      <c r="L57" t="s">
        <v>364</v>
      </c>
      <c r="M57" t="s">
        <v>117</v>
      </c>
      <c r="N57">
        <v>0.3659</v>
      </c>
      <c r="O57">
        <v>0.3659</v>
      </c>
      <c r="P57">
        <v>2.58</v>
      </c>
      <c r="Q57">
        <v>34</v>
      </c>
      <c r="R57">
        <v>0.91200000000000003</v>
      </c>
      <c r="S57">
        <v>75</v>
      </c>
      <c r="T57">
        <v>75</v>
      </c>
      <c r="U57">
        <v>0.42210999999999999</v>
      </c>
      <c r="V57">
        <v>0.42210999999999999</v>
      </c>
      <c r="W57">
        <v>2.56</v>
      </c>
      <c r="X57">
        <v>41</v>
      </c>
      <c r="Y57">
        <v>0.90200000000000002</v>
      </c>
      <c r="Z57">
        <v>75</v>
      </c>
      <c r="AA57">
        <v>75</v>
      </c>
      <c r="AB57">
        <v>0.39676</v>
      </c>
      <c r="AC57">
        <v>0.39676</v>
      </c>
      <c r="AD57">
        <v>2.42</v>
      </c>
      <c r="AE57">
        <v>38</v>
      </c>
      <c r="AF57">
        <v>0.84199999999999997</v>
      </c>
      <c r="AG57">
        <v>75</v>
      </c>
      <c r="AH57">
        <v>75</v>
      </c>
    </row>
    <row r="58" spans="1:34" x14ac:dyDescent="0.2">
      <c r="A58" t="s">
        <v>335</v>
      </c>
      <c r="B58" t="s">
        <v>118</v>
      </c>
      <c r="C58">
        <v>1</v>
      </c>
      <c r="D58" t="s">
        <v>14</v>
      </c>
      <c r="E58" t="str">
        <f t="shared" si="0"/>
        <v>5OD4.A</v>
      </c>
      <c r="F58" t="s">
        <v>119</v>
      </c>
      <c r="G58" t="s">
        <v>16</v>
      </c>
      <c r="H58">
        <v>1</v>
      </c>
      <c r="I58" t="s">
        <v>332</v>
      </c>
      <c r="J58">
        <v>1.1000000000000001</v>
      </c>
      <c r="K58" t="s">
        <v>365</v>
      </c>
      <c r="L58" t="s">
        <v>366</v>
      </c>
      <c r="M58" t="s">
        <v>120</v>
      </c>
      <c r="N58">
        <v>0.73097000000000001</v>
      </c>
      <c r="O58">
        <v>0.73097000000000001</v>
      </c>
      <c r="P58">
        <v>2.0699999999999998</v>
      </c>
      <c r="Q58">
        <v>67</v>
      </c>
      <c r="R58">
        <v>0.91</v>
      </c>
      <c r="S58">
        <v>79</v>
      </c>
      <c r="T58">
        <v>79</v>
      </c>
      <c r="U58">
        <v>0.88407999999999998</v>
      </c>
      <c r="V58">
        <v>0.88407999999999998</v>
      </c>
      <c r="W58">
        <v>1.81</v>
      </c>
      <c r="X58">
        <v>76</v>
      </c>
      <c r="Y58">
        <v>0.94699999999999995</v>
      </c>
      <c r="Z58">
        <v>79</v>
      </c>
      <c r="AA58">
        <v>79</v>
      </c>
      <c r="AB58">
        <v>0.91003999999999996</v>
      </c>
      <c r="AC58">
        <v>0.91003999999999996</v>
      </c>
      <c r="AD58">
        <v>1.32</v>
      </c>
      <c r="AE58">
        <v>76</v>
      </c>
      <c r="AF58">
        <v>1</v>
      </c>
      <c r="AG58">
        <v>79</v>
      </c>
      <c r="AH58">
        <v>79</v>
      </c>
    </row>
    <row r="59" spans="1:34" x14ac:dyDescent="0.2">
      <c r="A59" t="s">
        <v>327</v>
      </c>
      <c r="B59" t="s">
        <v>121</v>
      </c>
      <c r="C59">
        <v>1</v>
      </c>
      <c r="D59" t="s">
        <v>26</v>
      </c>
      <c r="E59" t="str">
        <f t="shared" si="0"/>
        <v>5VJJ.A</v>
      </c>
      <c r="F59" t="s">
        <v>122</v>
      </c>
      <c r="G59" t="s">
        <v>59</v>
      </c>
      <c r="H59">
        <v>1</v>
      </c>
      <c r="I59" t="s">
        <v>332</v>
      </c>
      <c r="J59">
        <v>2.52</v>
      </c>
      <c r="K59" t="s">
        <v>329</v>
      </c>
      <c r="L59" t="s">
        <v>367</v>
      </c>
      <c r="M59" t="s">
        <v>123</v>
      </c>
    </row>
    <row r="60" spans="1:34" x14ac:dyDescent="0.2">
      <c r="A60" t="s">
        <v>368</v>
      </c>
      <c r="B60" t="s">
        <v>124</v>
      </c>
      <c r="C60">
        <v>1</v>
      </c>
      <c r="D60" t="s">
        <v>14</v>
      </c>
      <c r="E60" t="str">
        <f t="shared" si="0"/>
        <v>5XMZ.A</v>
      </c>
      <c r="F60" t="s">
        <v>125</v>
      </c>
      <c r="G60" t="s">
        <v>126</v>
      </c>
      <c r="H60">
        <v>1</v>
      </c>
      <c r="I60" t="s">
        <v>332</v>
      </c>
      <c r="J60">
        <v>1.85</v>
      </c>
      <c r="K60" t="s">
        <v>329</v>
      </c>
      <c r="L60" t="s">
        <v>369</v>
      </c>
      <c r="M60" t="s">
        <v>127</v>
      </c>
      <c r="N60">
        <v>0.82730000000000004</v>
      </c>
      <c r="O60">
        <v>0.82730000000000004</v>
      </c>
      <c r="P60">
        <v>2.11</v>
      </c>
      <c r="Q60">
        <v>66</v>
      </c>
      <c r="R60">
        <v>1</v>
      </c>
      <c r="S60">
        <v>68</v>
      </c>
      <c r="T60">
        <v>68</v>
      </c>
      <c r="U60">
        <v>0.95564000000000004</v>
      </c>
      <c r="V60">
        <v>0.95564000000000004</v>
      </c>
      <c r="W60">
        <v>0.66</v>
      </c>
      <c r="X60">
        <v>68</v>
      </c>
      <c r="Y60">
        <v>1</v>
      </c>
      <c r="Z60">
        <v>68</v>
      </c>
      <c r="AA60">
        <v>68</v>
      </c>
      <c r="AB60">
        <v>0.97333000000000003</v>
      </c>
      <c r="AC60">
        <v>0.97333000000000003</v>
      </c>
      <c r="AD60">
        <v>0.51</v>
      </c>
      <c r="AE60">
        <v>68</v>
      </c>
      <c r="AF60">
        <v>1</v>
      </c>
      <c r="AG60">
        <v>68</v>
      </c>
      <c r="AH60">
        <v>68</v>
      </c>
    </row>
    <row r="61" spans="1:34" x14ac:dyDescent="0.2">
      <c r="A61" t="s">
        <v>337</v>
      </c>
      <c r="B61" t="s">
        <v>128</v>
      </c>
      <c r="C61">
        <v>1</v>
      </c>
      <c r="D61" t="s">
        <v>77</v>
      </c>
      <c r="E61" t="str">
        <f t="shared" si="0"/>
        <v>5Z1V.A</v>
      </c>
      <c r="F61" t="s">
        <v>129</v>
      </c>
      <c r="G61" t="s">
        <v>38</v>
      </c>
      <c r="H61">
        <v>1</v>
      </c>
      <c r="I61" t="s">
        <v>332</v>
      </c>
      <c r="J61">
        <v>1.66</v>
      </c>
      <c r="K61" t="s">
        <v>329</v>
      </c>
      <c r="L61" t="s">
        <v>367</v>
      </c>
      <c r="M61" t="s">
        <v>130</v>
      </c>
      <c r="N61">
        <v>0.36696000000000001</v>
      </c>
      <c r="O61">
        <v>0.37615999999999999</v>
      </c>
      <c r="P61">
        <v>3.61</v>
      </c>
      <c r="Q61">
        <v>49</v>
      </c>
      <c r="R61">
        <v>0.40799999999999997</v>
      </c>
      <c r="S61">
        <v>80</v>
      </c>
      <c r="T61">
        <v>77</v>
      </c>
      <c r="U61">
        <v>0.99121000000000004</v>
      </c>
      <c r="V61">
        <v>0.95443</v>
      </c>
      <c r="W61">
        <v>0.3</v>
      </c>
      <c r="X61">
        <v>77</v>
      </c>
      <c r="Y61">
        <v>1</v>
      </c>
      <c r="Z61">
        <v>80</v>
      </c>
      <c r="AA61">
        <v>77</v>
      </c>
      <c r="AB61">
        <v>0.79676999999999998</v>
      </c>
      <c r="AC61">
        <v>0.82508999999999999</v>
      </c>
      <c r="AD61">
        <v>1.87</v>
      </c>
      <c r="AE61">
        <v>73</v>
      </c>
      <c r="AF61">
        <v>0.98599999999999999</v>
      </c>
      <c r="AG61">
        <v>80</v>
      </c>
      <c r="AH61">
        <v>77</v>
      </c>
    </row>
    <row r="62" spans="1:34" x14ac:dyDescent="0.2">
      <c r="A62" t="s">
        <v>337</v>
      </c>
      <c r="B62" t="s">
        <v>135</v>
      </c>
      <c r="C62">
        <v>2</v>
      </c>
      <c r="D62" t="s">
        <v>136</v>
      </c>
      <c r="E62" t="str">
        <f t="shared" si="0"/>
        <v>5ZNG.B</v>
      </c>
      <c r="F62" t="s">
        <v>137</v>
      </c>
      <c r="G62" t="s">
        <v>47</v>
      </c>
      <c r="H62">
        <v>1</v>
      </c>
      <c r="I62" t="s">
        <v>332</v>
      </c>
      <c r="J62">
        <v>2.19</v>
      </c>
      <c r="K62" t="s">
        <v>329</v>
      </c>
      <c r="L62" t="s">
        <v>370</v>
      </c>
      <c r="M62" t="s">
        <v>134</v>
      </c>
      <c r="N62">
        <v>0.94376000000000004</v>
      </c>
      <c r="O62">
        <v>0.94376000000000004</v>
      </c>
      <c r="P62">
        <v>0.91</v>
      </c>
      <c r="Q62">
        <v>67</v>
      </c>
      <c r="R62">
        <v>1</v>
      </c>
      <c r="S62">
        <v>68</v>
      </c>
      <c r="T62">
        <v>68</v>
      </c>
      <c r="U62">
        <v>0.96958</v>
      </c>
      <c r="V62">
        <v>0.95587999999999995</v>
      </c>
      <c r="W62">
        <v>0.52</v>
      </c>
      <c r="X62">
        <v>67</v>
      </c>
      <c r="Y62">
        <v>1</v>
      </c>
      <c r="Z62">
        <v>68</v>
      </c>
      <c r="AA62">
        <v>67</v>
      </c>
      <c r="AB62">
        <v>0.97140000000000004</v>
      </c>
      <c r="AC62">
        <v>0.97140000000000004</v>
      </c>
      <c r="AD62">
        <v>0.56999999999999995</v>
      </c>
      <c r="AE62">
        <v>68</v>
      </c>
      <c r="AF62">
        <v>1</v>
      </c>
      <c r="AG62">
        <v>68</v>
      </c>
      <c r="AH62">
        <v>68</v>
      </c>
    </row>
    <row r="63" spans="1:34" x14ac:dyDescent="0.2">
      <c r="A63" t="s">
        <v>357</v>
      </c>
      <c r="B63" t="s">
        <v>138</v>
      </c>
      <c r="C63">
        <v>1</v>
      </c>
      <c r="D63" t="s">
        <v>77</v>
      </c>
      <c r="E63" t="str">
        <f t="shared" si="0"/>
        <v>6BN0.A</v>
      </c>
      <c r="F63" t="s">
        <v>139</v>
      </c>
      <c r="G63" t="s">
        <v>140</v>
      </c>
      <c r="H63">
        <v>1</v>
      </c>
      <c r="I63" t="s">
        <v>332</v>
      </c>
      <c r="J63">
        <v>1.95</v>
      </c>
      <c r="K63" t="s">
        <v>329</v>
      </c>
      <c r="L63" t="s">
        <v>371</v>
      </c>
      <c r="M63" t="s">
        <v>141</v>
      </c>
      <c r="N63">
        <v>0.50429999999999997</v>
      </c>
      <c r="O63">
        <v>0.56074000000000002</v>
      </c>
      <c r="P63">
        <v>3.93</v>
      </c>
      <c r="Q63">
        <v>118</v>
      </c>
      <c r="R63">
        <v>0.66100000000000003</v>
      </c>
      <c r="S63">
        <v>157</v>
      </c>
      <c r="T63">
        <v>136</v>
      </c>
      <c r="U63">
        <v>0.75978000000000001</v>
      </c>
      <c r="V63">
        <v>0.67095000000000005</v>
      </c>
      <c r="W63">
        <v>3.34</v>
      </c>
      <c r="X63">
        <v>132</v>
      </c>
      <c r="Y63">
        <v>0.81799999999999995</v>
      </c>
      <c r="Z63">
        <v>157</v>
      </c>
      <c r="AA63">
        <v>136</v>
      </c>
      <c r="AB63">
        <v>0.34658</v>
      </c>
      <c r="AC63">
        <v>0.38238</v>
      </c>
      <c r="AD63">
        <v>4.97</v>
      </c>
      <c r="AE63">
        <v>90</v>
      </c>
      <c r="AF63">
        <v>0.57799999999999996</v>
      </c>
      <c r="AG63">
        <v>157</v>
      </c>
      <c r="AH63">
        <v>136</v>
      </c>
    </row>
    <row r="64" spans="1:34" x14ac:dyDescent="0.2">
      <c r="A64" t="s">
        <v>372</v>
      </c>
      <c r="B64" t="s">
        <v>142</v>
      </c>
      <c r="C64">
        <v>1</v>
      </c>
      <c r="D64" t="s">
        <v>14</v>
      </c>
      <c r="E64" t="str">
        <f t="shared" si="0"/>
        <v>6FMB.A</v>
      </c>
      <c r="F64" t="s">
        <v>143</v>
      </c>
      <c r="G64" t="s">
        <v>144</v>
      </c>
      <c r="H64">
        <v>1</v>
      </c>
      <c r="I64" t="s">
        <v>332</v>
      </c>
      <c r="J64">
        <v>1.3</v>
      </c>
      <c r="K64" t="s">
        <v>329</v>
      </c>
      <c r="L64" t="s">
        <v>373</v>
      </c>
      <c r="M64" t="s">
        <v>145</v>
      </c>
      <c r="N64">
        <v>0.30736000000000002</v>
      </c>
      <c r="O64">
        <v>0.30736000000000002</v>
      </c>
      <c r="P64">
        <v>4.57</v>
      </c>
      <c r="Q64">
        <v>75</v>
      </c>
      <c r="R64">
        <v>9.2999999999999999E-2</v>
      </c>
      <c r="S64">
        <v>158</v>
      </c>
      <c r="T64">
        <v>158</v>
      </c>
      <c r="U64">
        <v>0.90546000000000004</v>
      </c>
      <c r="V64">
        <v>0.90546000000000004</v>
      </c>
      <c r="W64">
        <v>1.82</v>
      </c>
      <c r="X64">
        <v>157</v>
      </c>
      <c r="Y64">
        <v>0.98099999999999998</v>
      </c>
      <c r="Z64">
        <v>158</v>
      </c>
      <c r="AA64">
        <v>158</v>
      </c>
      <c r="AB64">
        <v>0.92610999999999999</v>
      </c>
      <c r="AC64">
        <v>0.92610999999999999</v>
      </c>
      <c r="AD64">
        <v>1.67</v>
      </c>
      <c r="AE64">
        <v>157</v>
      </c>
      <c r="AF64">
        <v>0.95499999999999996</v>
      </c>
      <c r="AG64">
        <v>158</v>
      </c>
      <c r="AH64">
        <v>158</v>
      </c>
    </row>
    <row r="65" spans="1:34" x14ac:dyDescent="0.2">
      <c r="A65" t="s">
        <v>340</v>
      </c>
      <c r="B65" t="s">
        <v>150</v>
      </c>
      <c r="C65">
        <v>2</v>
      </c>
      <c r="D65" t="s">
        <v>151</v>
      </c>
      <c r="E65" t="str">
        <f t="shared" si="0"/>
        <v>6FU9.B</v>
      </c>
      <c r="F65" t="s">
        <v>152</v>
      </c>
      <c r="G65" t="s">
        <v>38</v>
      </c>
      <c r="H65">
        <v>1</v>
      </c>
      <c r="I65" t="s">
        <v>332</v>
      </c>
      <c r="J65">
        <v>1.2</v>
      </c>
      <c r="K65" t="s">
        <v>333</v>
      </c>
      <c r="L65" t="s">
        <v>374</v>
      </c>
      <c r="M65" t="s">
        <v>149</v>
      </c>
      <c r="N65">
        <v>0.30260999999999999</v>
      </c>
      <c r="O65">
        <v>0.30260999999999999</v>
      </c>
      <c r="P65">
        <v>4.87</v>
      </c>
      <c r="Q65">
        <v>75</v>
      </c>
      <c r="R65">
        <v>0.04</v>
      </c>
      <c r="S65">
        <v>143</v>
      </c>
      <c r="T65">
        <v>143</v>
      </c>
      <c r="U65">
        <v>0.86395</v>
      </c>
      <c r="V65">
        <v>0.86395</v>
      </c>
      <c r="W65">
        <v>2.1</v>
      </c>
      <c r="X65">
        <v>142</v>
      </c>
      <c r="Y65">
        <v>1</v>
      </c>
      <c r="Z65">
        <v>143</v>
      </c>
      <c r="AA65">
        <v>143</v>
      </c>
      <c r="AB65">
        <v>0.92632999999999999</v>
      </c>
      <c r="AC65">
        <v>0.92632999999999999</v>
      </c>
      <c r="AD65">
        <v>1.76</v>
      </c>
      <c r="AE65">
        <v>143</v>
      </c>
      <c r="AF65">
        <v>1</v>
      </c>
      <c r="AG65">
        <v>143</v>
      </c>
      <c r="AH65">
        <v>143</v>
      </c>
    </row>
    <row r="66" spans="1:34" x14ac:dyDescent="0.2">
      <c r="A66" t="s">
        <v>340</v>
      </c>
      <c r="B66" t="s">
        <v>153</v>
      </c>
      <c r="C66">
        <v>2</v>
      </c>
      <c r="D66" t="s">
        <v>154</v>
      </c>
      <c r="E66" t="str">
        <f t="shared" si="0"/>
        <v>6FUB.A</v>
      </c>
      <c r="F66" t="s">
        <v>152</v>
      </c>
      <c r="G66" t="s">
        <v>38</v>
      </c>
      <c r="H66">
        <v>1</v>
      </c>
      <c r="I66" t="s">
        <v>332</v>
      </c>
      <c r="J66">
        <v>1.3</v>
      </c>
      <c r="K66" t="s">
        <v>333</v>
      </c>
      <c r="L66" t="s">
        <v>374</v>
      </c>
      <c r="M66" t="s">
        <v>149</v>
      </c>
    </row>
    <row r="67" spans="1:34" x14ac:dyDescent="0.2">
      <c r="A67" t="s">
        <v>340</v>
      </c>
      <c r="B67" t="s">
        <v>158</v>
      </c>
      <c r="C67">
        <v>2</v>
      </c>
      <c r="D67" t="s">
        <v>19</v>
      </c>
      <c r="E67" t="str">
        <f t="shared" si="0"/>
        <v>6FUD.B</v>
      </c>
      <c r="F67" t="s">
        <v>152</v>
      </c>
      <c r="G67" t="s">
        <v>38</v>
      </c>
      <c r="H67">
        <v>1</v>
      </c>
      <c r="I67" t="s">
        <v>332</v>
      </c>
      <c r="J67">
        <v>1.3</v>
      </c>
      <c r="K67" t="s">
        <v>333</v>
      </c>
      <c r="L67" t="s">
        <v>374</v>
      </c>
      <c r="M67" t="s">
        <v>149</v>
      </c>
      <c r="N67">
        <v>0.38696999999999998</v>
      </c>
      <c r="O67">
        <v>0.42946000000000001</v>
      </c>
      <c r="P67">
        <v>3.7</v>
      </c>
      <c r="Q67">
        <v>57</v>
      </c>
      <c r="R67">
        <v>0.70199999999999996</v>
      </c>
      <c r="S67">
        <v>93</v>
      </c>
      <c r="T67">
        <v>80</v>
      </c>
      <c r="U67">
        <v>0.98187000000000002</v>
      </c>
      <c r="V67">
        <v>0.84718000000000004</v>
      </c>
      <c r="W67">
        <v>0.44</v>
      </c>
      <c r="X67">
        <v>80</v>
      </c>
      <c r="Y67">
        <v>1</v>
      </c>
      <c r="Z67">
        <v>93</v>
      </c>
      <c r="AA67">
        <v>80</v>
      </c>
      <c r="AB67">
        <v>0.85109000000000001</v>
      </c>
      <c r="AC67">
        <v>0.98733000000000004</v>
      </c>
      <c r="AD67">
        <v>0.37</v>
      </c>
      <c r="AE67">
        <v>80</v>
      </c>
      <c r="AF67">
        <v>1</v>
      </c>
      <c r="AG67">
        <v>93</v>
      </c>
      <c r="AH67">
        <v>80</v>
      </c>
    </row>
    <row r="68" spans="1:34" x14ac:dyDescent="0.2">
      <c r="A68" t="s">
        <v>337</v>
      </c>
      <c r="B68" t="s">
        <v>162</v>
      </c>
      <c r="C68">
        <v>2</v>
      </c>
      <c r="D68" t="s">
        <v>68</v>
      </c>
      <c r="E68" t="str">
        <f t="shared" si="0"/>
        <v>6G10.C</v>
      </c>
      <c r="F68" t="s">
        <v>152</v>
      </c>
      <c r="G68" t="s">
        <v>38</v>
      </c>
      <c r="H68">
        <v>1</v>
      </c>
      <c r="I68" t="s">
        <v>332</v>
      </c>
      <c r="J68">
        <v>1.35</v>
      </c>
      <c r="K68" t="s">
        <v>329</v>
      </c>
      <c r="L68" t="s">
        <v>374</v>
      </c>
      <c r="M68" t="s">
        <v>161</v>
      </c>
      <c r="N68">
        <v>0.28098000000000001</v>
      </c>
      <c r="O68">
        <v>0.28249999999999997</v>
      </c>
      <c r="P68">
        <v>4.76</v>
      </c>
      <c r="Q68">
        <v>61</v>
      </c>
      <c r="R68">
        <v>0.47499999999999998</v>
      </c>
      <c r="S68">
        <v>125</v>
      </c>
      <c r="T68">
        <v>124</v>
      </c>
      <c r="U68">
        <v>0.37217</v>
      </c>
      <c r="V68">
        <v>0.37010999999999999</v>
      </c>
      <c r="W68">
        <v>4.3</v>
      </c>
      <c r="X68">
        <v>75</v>
      </c>
      <c r="Y68">
        <v>0.08</v>
      </c>
      <c r="Z68">
        <v>125</v>
      </c>
      <c r="AA68">
        <v>124</v>
      </c>
      <c r="AB68">
        <v>0.31352999999999998</v>
      </c>
      <c r="AC68">
        <v>0.31541000000000002</v>
      </c>
      <c r="AD68">
        <v>4.63</v>
      </c>
      <c r="AE68">
        <v>63</v>
      </c>
      <c r="AF68">
        <v>0</v>
      </c>
      <c r="AG68">
        <v>125</v>
      </c>
      <c r="AH68">
        <v>124</v>
      </c>
    </row>
    <row r="69" spans="1:34" x14ac:dyDescent="0.2">
      <c r="A69" t="s">
        <v>340</v>
      </c>
      <c r="B69" t="s">
        <v>163</v>
      </c>
      <c r="C69">
        <v>2</v>
      </c>
      <c r="D69" t="s">
        <v>164</v>
      </c>
      <c r="E69" t="str">
        <f t="shared" si="0"/>
        <v>6G11.A</v>
      </c>
      <c r="F69" t="s">
        <v>152</v>
      </c>
      <c r="G69" t="s">
        <v>38</v>
      </c>
      <c r="H69">
        <v>1</v>
      </c>
      <c r="I69" t="s">
        <v>332</v>
      </c>
      <c r="J69">
        <v>1.9</v>
      </c>
      <c r="K69" t="s">
        <v>333</v>
      </c>
      <c r="L69" t="s">
        <v>374</v>
      </c>
      <c r="M69" t="s">
        <v>161</v>
      </c>
    </row>
    <row r="70" spans="1:34" x14ac:dyDescent="0.2">
      <c r="A70" t="s">
        <v>327</v>
      </c>
      <c r="B70" t="s">
        <v>168</v>
      </c>
      <c r="C70">
        <v>1</v>
      </c>
      <c r="D70" t="s">
        <v>14</v>
      </c>
      <c r="E70" t="str">
        <f t="shared" si="0"/>
        <v>6H0I.A</v>
      </c>
      <c r="F70" t="s">
        <v>169</v>
      </c>
      <c r="G70" t="s">
        <v>170</v>
      </c>
      <c r="H70">
        <v>1</v>
      </c>
      <c r="I70" t="s">
        <v>328</v>
      </c>
      <c r="J70">
        <v>0</v>
      </c>
      <c r="K70" t="s">
        <v>333</v>
      </c>
      <c r="L70" t="s">
        <v>375</v>
      </c>
      <c r="M70" t="s">
        <v>171</v>
      </c>
      <c r="N70">
        <v>0.69665999999999995</v>
      </c>
      <c r="O70">
        <v>0.78996999999999995</v>
      </c>
      <c r="P70">
        <v>1.78</v>
      </c>
      <c r="Q70">
        <v>77</v>
      </c>
      <c r="R70">
        <v>0.87</v>
      </c>
      <c r="S70">
        <v>94</v>
      </c>
      <c r="T70">
        <v>81</v>
      </c>
      <c r="U70">
        <v>0.98821000000000003</v>
      </c>
      <c r="V70">
        <v>0.85321000000000002</v>
      </c>
      <c r="W70">
        <v>0.35</v>
      </c>
      <c r="X70">
        <v>81</v>
      </c>
      <c r="Y70">
        <v>1</v>
      </c>
      <c r="Z70">
        <v>94</v>
      </c>
      <c r="AA70">
        <v>81</v>
      </c>
      <c r="AB70">
        <v>0.85314999999999996</v>
      </c>
      <c r="AC70">
        <v>0.98814000000000002</v>
      </c>
      <c r="AD70">
        <v>0.36</v>
      </c>
      <c r="AE70">
        <v>81</v>
      </c>
      <c r="AF70">
        <v>1</v>
      </c>
      <c r="AG70">
        <v>94</v>
      </c>
      <c r="AH70">
        <v>81</v>
      </c>
    </row>
    <row r="71" spans="1:34" x14ac:dyDescent="0.2">
      <c r="A71" t="s">
        <v>348</v>
      </c>
      <c r="B71" t="s">
        <v>172</v>
      </c>
      <c r="C71">
        <v>1</v>
      </c>
      <c r="D71" t="s">
        <v>77</v>
      </c>
      <c r="E71" t="str">
        <f t="shared" ref="E71:E109" si="1">LEFT(B71,4)&amp;"."&amp;LEFT(D71,1)</f>
        <v>6Q40.A</v>
      </c>
      <c r="F71" t="s">
        <v>173</v>
      </c>
      <c r="G71" t="s">
        <v>174</v>
      </c>
      <c r="H71">
        <v>1</v>
      </c>
      <c r="I71" t="s">
        <v>332</v>
      </c>
      <c r="J71">
        <v>2.4119999999999999</v>
      </c>
      <c r="K71" t="s">
        <v>329</v>
      </c>
      <c r="L71" t="s">
        <v>376</v>
      </c>
      <c r="M71" t="s">
        <v>175</v>
      </c>
      <c r="N71">
        <v>0.48496</v>
      </c>
      <c r="O71">
        <v>0.48887999999999998</v>
      </c>
      <c r="P71">
        <v>2.78</v>
      </c>
      <c r="Q71">
        <v>45</v>
      </c>
      <c r="R71">
        <v>0.64400000000000002</v>
      </c>
      <c r="S71">
        <v>50</v>
      </c>
      <c r="T71">
        <v>49</v>
      </c>
      <c r="U71">
        <v>0.69479999999999997</v>
      </c>
      <c r="V71">
        <v>0.68618000000000001</v>
      </c>
      <c r="W71">
        <v>1.72</v>
      </c>
      <c r="X71">
        <v>48</v>
      </c>
      <c r="Y71">
        <v>0.95799999999999996</v>
      </c>
      <c r="Z71">
        <v>50</v>
      </c>
      <c r="AA71">
        <v>49</v>
      </c>
      <c r="AB71">
        <v>0.72382999999999997</v>
      </c>
      <c r="AC71">
        <v>0.73401000000000005</v>
      </c>
      <c r="AD71">
        <v>1.97</v>
      </c>
      <c r="AE71">
        <v>49</v>
      </c>
      <c r="AF71">
        <v>1</v>
      </c>
      <c r="AG71">
        <v>50</v>
      </c>
      <c r="AH71">
        <v>49</v>
      </c>
    </row>
    <row r="72" spans="1:34" x14ac:dyDescent="0.2">
      <c r="A72" t="s">
        <v>340</v>
      </c>
      <c r="B72" t="s">
        <v>178</v>
      </c>
      <c r="C72">
        <v>2</v>
      </c>
      <c r="D72" t="s">
        <v>19</v>
      </c>
      <c r="E72" t="str">
        <f t="shared" si="1"/>
        <v>6Q76.B</v>
      </c>
      <c r="F72" t="s">
        <v>50</v>
      </c>
      <c r="G72" t="s">
        <v>38</v>
      </c>
      <c r="H72">
        <v>1</v>
      </c>
      <c r="I72" t="s">
        <v>332</v>
      </c>
      <c r="J72">
        <v>1.9</v>
      </c>
      <c r="K72" t="s">
        <v>333</v>
      </c>
      <c r="L72" t="s">
        <v>377</v>
      </c>
      <c r="M72" t="s">
        <v>177</v>
      </c>
      <c r="N72">
        <v>0.28622999999999998</v>
      </c>
      <c r="O72">
        <v>0.28788999999999998</v>
      </c>
      <c r="P72">
        <v>4.7300000000000004</v>
      </c>
      <c r="Q72">
        <v>58</v>
      </c>
      <c r="R72">
        <v>5.1999999999999998E-2</v>
      </c>
      <c r="S72">
        <v>114</v>
      </c>
      <c r="T72">
        <v>113</v>
      </c>
      <c r="U72">
        <v>0.31834000000000001</v>
      </c>
      <c r="V72">
        <v>0.31646000000000002</v>
      </c>
      <c r="W72">
        <v>4.79</v>
      </c>
      <c r="X72">
        <v>64</v>
      </c>
      <c r="Y72">
        <v>0.42199999999999999</v>
      </c>
      <c r="Z72">
        <v>114</v>
      </c>
      <c r="AA72">
        <v>113</v>
      </c>
      <c r="AB72">
        <v>0.29838999999999999</v>
      </c>
      <c r="AC72">
        <v>0.29998999999999998</v>
      </c>
      <c r="AD72">
        <v>4.9000000000000004</v>
      </c>
      <c r="AE72">
        <v>66</v>
      </c>
      <c r="AF72">
        <v>0.60599999999999998</v>
      </c>
      <c r="AG72">
        <v>114</v>
      </c>
      <c r="AH72">
        <v>113</v>
      </c>
    </row>
    <row r="73" spans="1:34" x14ac:dyDescent="0.2">
      <c r="A73" t="s">
        <v>355</v>
      </c>
      <c r="B73" t="s">
        <v>179</v>
      </c>
      <c r="C73">
        <v>1</v>
      </c>
      <c r="D73" t="s">
        <v>26</v>
      </c>
      <c r="E73" t="str">
        <f t="shared" si="1"/>
        <v>6QPK.A</v>
      </c>
      <c r="F73" t="s">
        <v>46</v>
      </c>
      <c r="G73" t="s">
        <v>180</v>
      </c>
      <c r="H73">
        <v>1</v>
      </c>
      <c r="I73" t="s">
        <v>332</v>
      </c>
      <c r="J73">
        <v>1.36</v>
      </c>
      <c r="K73" t="s">
        <v>329</v>
      </c>
      <c r="L73" t="s">
        <v>378</v>
      </c>
      <c r="M73" t="s">
        <v>181</v>
      </c>
    </row>
    <row r="74" spans="1:34" x14ac:dyDescent="0.2">
      <c r="A74" t="s">
        <v>337</v>
      </c>
      <c r="B74" t="s">
        <v>182</v>
      </c>
      <c r="C74">
        <v>1</v>
      </c>
      <c r="D74" t="s">
        <v>183</v>
      </c>
      <c r="E74" t="str">
        <f t="shared" si="1"/>
        <v>6R5J.A</v>
      </c>
      <c r="F74" t="s">
        <v>46</v>
      </c>
      <c r="G74" t="s">
        <v>184</v>
      </c>
      <c r="H74">
        <v>1</v>
      </c>
      <c r="I74" t="s">
        <v>332</v>
      </c>
      <c r="J74">
        <v>1.38</v>
      </c>
      <c r="K74" t="s">
        <v>329</v>
      </c>
      <c r="L74" t="s">
        <v>379</v>
      </c>
      <c r="M74" t="s">
        <v>185</v>
      </c>
      <c r="N74">
        <v>0.35893999999999998</v>
      </c>
      <c r="O74">
        <v>0.36326000000000003</v>
      </c>
      <c r="P74">
        <v>4.16</v>
      </c>
      <c r="Q74">
        <v>62</v>
      </c>
      <c r="R74">
        <v>6.5000000000000002E-2</v>
      </c>
      <c r="S74">
        <v>93</v>
      </c>
      <c r="T74">
        <v>91</v>
      </c>
      <c r="U74">
        <v>0.90851999999999999</v>
      </c>
      <c r="V74">
        <v>0.89009000000000005</v>
      </c>
      <c r="W74">
        <v>1.08</v>
      </c>
      <c r="X74">
        <v>88</v>
      </c>
      <c r="Y74">
        <v>0.92</v>
      </c>
      <c r="Z74">
        <v>93</v>
      </c>
      <c r="AA74">
        <v>91</v>
      </c>
      <c r="AB74">
        <v>0.95067000000000002</v>
      </c>
      <c r="AC74">
        <v>0.97087000000000001</v>
      </c>
      <c r="AD74">
        <v>0.62</v>
      </c>
      <c r="AE74">
        <v>91</v>
      </c>
      <c r="AF74">
        <v>0.98899999999999999</v>
      </c>
      <c r="AG74">
        <v>93</v>
      </c>
      <c r="AH74">
        <v>91</v>
      </c>
    </row>
    <row r="75" spans="1:34" x14ac:dyDescent="0.2">
      <c r="A75" t="s">
        <v>380</v>
      </c>
      <c r="B75" t="s">
        <v>186</v>
      </c>
      <c r="C75">
        <v>1</v>
      </c>
      <c r="D75" t="s">
        <v>14</v>
      </c>
      <c r="E75" t="str">
        <f t="shared" si="1"/>
        <v>6SGO.A</v>
      </c>
      <c r="F75" t="s">
        <v>169</v>
      </c>
      <c r="G75" t="s">
        <v>187</v>
      </c>
      <c r="H75">
        <v>1</v>
      </c>
      <c r="I75" t="s">
        <v>328</v>
      </c>
      <c r="J75">
        <v>0</v>
      </c>
      <c r="K75" t="s">
        <v>333</v>
      </c>
      <c r="L75" t="s">
        <v>375</v>
      </c>
      <c r="M75" t="s">
        <v>188</v>
      </c>
    </row>
    <row r="76" spans="1:34" x14ac:dyDescent="0.2">
      <c r="A76" t="s">
        <v>381</v>
      </c>
      <c r="B76" t="s">
        <v>189</v>
      </c>
      <c r="C76">
        <v>1</v>
      </c>
      <c r="D76" t="s">
        <v>14</v>
      </c>
      <c r="E76" t="str">
        <f t="shared" si="1"/>
        <v>6WES.A</v>
      </c>
      <c r="F76" t="s">
        <v>190</v>
      </c>
      <c r="G76" t="s">
        <v>191</v>
      </c>
      <c r="H76">
        <v>1</v>
      </c>
      <c r="I76" t="s">
        <v>332</v>
      </c>
      <c r="J76">
        <v>1.36</v>
      </c>
      <c r="K76" t="s">
        <v>329</v>
      </c>
      <c r="L76" t="s">
        <v>382</v>
      </c>
      <c r="M76" t="s">
        <v>192</v>
      </c>
      <c r="N76">
        <v>0.30623</v>
      </c>
      <c r="O76">
        <v>0.31320999999999999</v>
      </c>
      <c r="P76">
        <v>4.5999999999999996</v>
      </c>
      <c r="Q76">
        <v>58</v>
      </c>
      <c r="R76">
        <v>5.1999999999999998E-2</v>
      </c>
      <c r="S76">
        <v>95</v>
      </c>
      <c r="T76">
        <v>91</v>
      </c>
      <c r="U76">
        <v>0.97763999999999995</v>
      </c>
      <c r="V76">
        <v>0.93752000000000002</v>
      </c>
      <c r="W76">
        <v>0.53</v>
      </c>
      <c r="X76">
        <v>91</v>
      </c>
      <c r="Y76">
        <v>1</v>
      </c>
      <c r="Z76">
        <v>95</v>
      </c>
      <c r="AA76">
        <v>91</v>
      </c>
      <c r="AB76">
        <v>0.93725999999999998</v>
      </c>
      <c r="AC76">
        <v>0.97743999999999998</v>
      </c>
      <c r="AD76">
        <v>0.55000000000000004</v>
      </c>
      <c r="AE76">
        <v>91</v>
      </c>
      <c r="AF76">
        <v>1</v>
      </c>
      <c r="AG76">
        <v>95</v>
      </c>
      <c r="AH76">
        <v>91</v>
      </c>
    </row>
    <row r="77" spans="1:34" x14ac:dyDescent="0.2">
      <c r="A77" t="s">
        <v>353</v>
      </c>
      <c r="B77" t="s">
        <v>193</v>
      </c>
      <c r="C77">
        <v>1</v>
      </c>
      <c r="D77" t="s">
        <v>14</v>
      </c>
      <c r="E77" t="str">
        <f t="shared" si="1"/>
        <v>6ZUS.A</v>
      </c>
      <c r="F77" t="s">
        <v>194</v>
      </c>
      <c r="G77" t="s">
        <v>140</v>
      </c>
      <c r="H77">
        <v>1</v>
      </c>
      <c r="I77" t="s">
        <v>332</v>
      </c>
      <c r="J77">
        <v>1.62</v>
      </c>
      <c r="K77" t="s">
        <v>333</v>
      </c>
      <c r="L77" t="s">
        <v>383</v>
      </c>
      <c r="M77" t="s">
        <v>195</v>
      </c>
    </row>
    <row r="78" spans="1:34" x14ac:dyDescent="0.2">
      <c r="A78" t="s">
        <v>340</v>
      </c>
      <c r="B78" t="s">
        <v>199</v>
      </c>
      <c r="C78">
        <v>2</v>
      </c>
      <c r="D78" t="s">
        <v>200</v>
      </c>
      <c r="E78" t="str">
        <f t="shared" si="1"/>
        <v>7A8X.C</v>
      </c>
      <c r="F78" t="s">
        <v>152</v>
      </c>
      <c r="G78" t="s">
        <v>201</v>
      </c>
      <c r="H78">
        <v>1</v>
      </c>
      <c r="I78" t="s">
        <v>332</v>
      </c>
      <c r="J78" t="s">
        <v>384</v>
      </c>
      <c r="K78" t="s">
        <v>333</v>
      </c>
      <c r="L78" t="s">
        <v>385</v>
      </c>
      <c r="M78" t="s">
        <v>198</v>
      </c>
      <c r="N78">
        <v>0.42559000000000002</v>
      </c>
      <c r="O78">
        <v>0.69559000000000004</v>
      </c>
      <c r="P78">
        <v>1.76</v>
      </c>
      <c r="Q78">
        <v>25</v>
      </c>
      <c r="R78">
        <v>1</v>
      </c>
      <c r="S78">
        <v>51</v>
      </c>
      <c r="T78">
        <v>27</v>
      </c>
      <c r="U78">
        <v>0.60834999999999995</v>
      </c>
      <c r="V78">
        <v>0.37863000000000002</v>
      </c>
      <c r="W78">
        <v>1.54</v>
      </c>
      <c r="X78">
        <v>22</v>
      </c>
      <c r="Y78">
        <v>0.95499999999999996</v>
      </c>
      <c r="Z78">
        <v>51</v>
      </c>
      <c r="AA78">
        <v>27</v>
      </c>
      <c r="AB78">
        <v>0.43175000000000002</v>
      </c>
      <c r="AC78">
        <v>0.73995999999999995</v>
      </c>
      <c r="AD78">
        <v>1.48</v>
      </c>
      <c r="AE78">
        <v>24</v>
      </c>
      <c r="AF78">
        <v>1</v>
      </c>
      <c r="AG78">
        <v>51</v>
      </c>
      <c r="AH78">
        <v>27</v>
      </c>
    </row>
    <row r="79" spans="1:34" x14ac:dyDescent="0.2">
      <c r="A79" t="s">
        <v>353</v>
      </c>
      <c r="B79" t="s">
        <v>202</v>
      </c>
      <c r="C79">
        <v>1</v>
      </c>
      <c r="D79" t="s">
        <v>14</v>
      </c>
      <c r="E79" t="str">
        <f t="shared" si="1"/>
        <v>7AD5.A</v>
      </c>
      <c r="F79" t="s">
        <v>203</v>
      </c>
      <c r="G79" t="s">
        <v>204</v>
      </c>
      <c r="H79">
        <v>1</v>
      </c>
      <c r="I79" t="s">
        <v>332</v>
      </c>
      <c r="J79">
        <v>2.14</v>
      </c>
      <c r="K79" t="s">
        <v>333</v>
      </c>
      <c r="L79" t="s">
        <v>383</v>
      </c>
      <c r="M79" t="s">
        <v>205</v>
      </c>
      <c r="N79">
        <v>0.27176</v>
      </c>
      <c r="O79">
        <v>0.32180999999999998</v>
      </c>
      <c r="P79">
        <v>6.07</v>
      </c>
      <c r="Q79">
        <v>122</v>
      </c>
      <c r="R79">
        <v>7.3999999999999996E-2</v>
      </c>
      <c r="S79">
        <v>267</v>
      </c>
      <c r="T79">
        <v>209</v>
      </c>
      <c r="U79">
        <v>0.95801999999999998</v>
      </c>
      <c r="V79">
        <v>0.75583</v>
      </c>
      <c r="W79">
        <v>1.21</v>
      </c>
      <c r="X79">
        <v>209</v>
      </c>
      <c r="Y79">
        <v>0.99</v>
      </c>
      <c r="Z79">
        <v>267</v>
      </c>
      <c r="AA79">
        <v>209</v>
      </c>
      <c r="AB79">
        <v>0.74895</v>
      </c>
      <c r="AC79">
        <v>0.94703999999999999</v>
      </c>
      <c r="AD79">
        <v>1.34</v>
      </c>
      <c r="AE79">
        <v>209</v>
      </c>
      <c r="AF79">
        <v>0.97599999999999998</v>
      </c>
      <c r="AG79">
        <v>267</v>
      </c>
      <c r="AH79">
        <v>209</v>
      </c>
    </row>
    <row r="80" spans="1:34" x14ac:dyDescent="0.2">
      <c r="A80" t="s">
        <v>340</v>
      </c>
      <c r="B80" t="s">
        <v>210</v>
      </c>
      <c r="C80">
        <v>2</v>
      </c>
      <c r="D80" t="s">
        <v>136</v>
      </c>
      <c r="E80" t="str">
        <f t="shared" si="1"/>
        <v>7B1I.B</v>
      </c>
      <c r="F80" t="s">
        <v>152</v>
      </c>
      <c r="G80" t="s">
        <v>38</v>
      </c>
      <c r="H80">
        <v>1</v>
      </c>
      <c r="I80" t="s">
        <v>332</v>
      </c>
      <c r="J80">
        <v>1.9</v>
      </c>
      <c r="K80" t="s">
        <v>333</v>
      </c>
      <c r="L80" t="s">
        <v>386</v>
      </c>
      <c r="M80" t="s">
        <v>209</v>
      </c>
      <c r="N80">
        <v>0.35814000000000001</v>
      </c>
      <c r="O80">
        <v>0.35814000000000001</v>
      </c>
      <c r="P80">
        <v>4.88</v>
      </c>
      <c r="Q80">
        <v>104</v>
      </c>
      <c r="R80">
        <v>0.45200000000000001</v>
      </c>
      <c r="S80">
        <v>185</v>
      </c>
      <c r="T80">
        <v>185</v>
      </c>
      <c r="U80">
        <v>0.36558000000000002</v>
      </c>
      <c r="V80">
        <v>0.36558000000000002</v>
      </c>
      <c r="W80">
        <v>5.28</v>
      </c>
      <c r="X80">
        <v>107</v>
      </c>
      <c r="Y80">
        <v>0.53300000000000003</v>
      </c>
      <c r="Z80">
        <v>185</v>
      </c>
      <c r="AA80">
        <v>185</v>
      </c>
      <c r="AB80">
        <v>0.44619999999999999</v>
      </c>
      <c r="AC80">
        <v>0.44619999999999999</v>
      </c>
      <c r="AD80">
        <v>3.1</v>
      </c>
      <c r="AE80">
        <v>105</v>
      </c>
      <c r="AF80">
        <v>0.77100000000000002</v>
      </c>
      <c r="AG80">
        <v>185</v>
      </c>
      <c r="AH80">
        <v>185</v>
      </c>
    </row>
    <row r="81" spans="1:34" x14ac:dyDescent="0.2">
      <c r="A81" t="s">
        <v>351</v>
      </c>
      <c r="B81" t="s">
        <v>211</v>
      </c>
      <c r="C81">
        <v>1</v>
      </c>
      <c r="D81" t="s">
        <v>14</v>
      </c>
      <c r="E81" t="str">
        <f t="shared" si="1"/>
        <v>7EAU.A</v>
      </c>
      <c r="F81" t="s">
        <v>212</v>
      </c>
      <c r="G81" t="s">
        <v>213</v>
      </c>
      <c r="H81">
        <v>1</v>
      </c>
      <c r="I81" t="s">
        <v>328</v>
      </c>
      <c r="J81">
        <v>0</v>
      </c>
      <c r="K81" t="s">
        <v>333</v>
      </c>
      <c r="L81" t="s">
        <v>387</v>
      </c>
      <c r="M81" t="s">
        <v>214</v>
      </c>
    </row>
    <row r="82" spans="1:34" x14ac:dyDescent="0.2">
      <c r="A82" t="s">
        <v>388</v>
      </c>
      <c r="B82" t="s">
        <v>215</v>
      </c>
      <c r="C82">
        <v>1</v>
      </c>
      <c r="D82" t="s">
        <v>14</v>
      </c>
      <c r="E82" t="str">
        <f t="shared" si="1"/>
        <v>7MQQ.A</v>
      </c>
      <c r="F82" t="s">
        <v>216</v>
      </c>
      <c r="G82" t="s">
        <v>217</v>
      </c>
      <c r="H82">
        <v>1</v>
      </c>
      <c r="I82" t="s">
        <v>332</v>
      </c>
      <c r="J82">
        <v>1.1499999999999999</v>
      </c>
      <c r="K82" t="s">
        <v>333</v>
      </c>
      <c r="L82" t="s">
        <v>389</v>
      </c>
      <c r="M82" t="s">
        <v>218</v>
      </c>
    </row>
    <row r="83" spans="1:34" x14ac:dyDescent="0.2">
      <c r="A83" t="s">
        <v>337</v>
      </c>
      <c r="B83" t="s">
        <v>223</v>
      </c>
      <c r="C83">
        <v>2</v>
      </c>
      <c r="D83" t="s">
        <v>19</v>
      </c>
      <c r="E83" t="str">
        <f t="shared" si="1"/>
        <v>7NLJ.B</v>
      </c>
      <c r="F83" t="s">
        <v>224</v>
      </c>
      <c r="G83" t="s">
        <v>225</v>
      </c>
      <c r="H83">
        <v>1</v>
      </c>
      <c r="I83" t="s">
        <v>332</v>
      </c>
      <c r="J83">
        <v>1.8</v>
      </c>
      <c r="K83" t="s">
        <v>333</v>
      </c>
      <c r="L83" t="s">
        <v>390</v>
      </c>
      <c r="M83" t="s">
        <v>222</v>
      </c>
      <c r="N83">
        <v>0.48585</v>
      </c>
      <c r="O83">
        <v>0.48843999999999999</v>
      </c>
      <c r="P83">
        <v>6.13</v>
      </c>
      <c r="Q83">
        <v>315</v>
      </c>
      <c r="R83">
        <v>0.41</v>
      </c>
      <c r="S83">
        <v>434</v>
      </c>
      <c r="T83">
        <v>431</v>
      </c>
      <c r="U83">
        <v>0.88719000000000003</v>
      </c>
      <c r="V83">
        <v>0.88153999999999999</v>
      </c>
      <c r="W83">
        <v>2.88</v>
      </c>
      <c r="X83">
        <v>428</v>
      </c>
      <c r="Y83">
        <v>0.96</v>
      </c>
      <c r="Z83">
        <v>434</v>
      </c>
      <c r="AA83">
        <v>431</v>
      </c>
      <c r="AB83">
        <v>0.43325999999999998</v>
      </c>
      <c r="AC83">
        <v>0.43578</v>
      </c>
      <c r="AD83">
        <v>5.99</v>
      </c>
      <c r="AE83">
        <v>262</v>
      </c>
      <c r="AF83">
        <v>0.46600000000000003</v>
      </c>
      <c r="AG83">
        <v>434</v>
      </c>
      <c r="AH83">
        <v>431</v>
      </c>
    </row>
    <row r="84" spans="1:34" x14ac:dyDescent="0.2">
      <c r="A84" t="s">
        <v>340</v>
      </c>
      <c r="B84" t="s">
        <v>229</v>
      </c>
      <c r="C84">
        <v>2</v>
      </c>
      <c r="D84" t="s">
        <v>230</v>
      </c>
      <c r="E84" t="str">
        <f t="shared" si="1"/>
        <v>7NMM.I</v>
      </c>
      <c r="F84" t="s">
        <v>231</v>
      </c>
      <c r="G84" t="s">
        <v>232</v>
      </c>
      <c r="H84">
        <v>1</v>
      </c>
      <c r="I84" t="s">
        <v>332</v>
      </c>
      <c r="J84">
        <v>2.2999999999999998</v>
      </c>
      <c r="K84" t="s">
        <v>333</v>
      </c>
      <c r="L84" t="s">
        <v>390</v>
      </c>
      <c r="M84" t="s">
        <v>228</v>
      </c>
      <c r="N84">
        <v>0.18726999999999999</v>
      </c>
      <c r="O84">
        <v>0.85223000000000004</v>
      </c>
      <c r="P84">
        <v>1.83</v>
      </c>
      <c r="Q84">
        <v>111</v>
      </c>
      <c r="R84">
        <v>0.88300000000000001</v>
      </c>
      <c r="S84">
        <v>575</v>
      </c>
      <c r="T84">
        <v>121</v>
      </c>
      <c r="U84">
        <v>0.93171000000000004</v>
      </c>
      <c r="V84">
        <v>0.59677000000000002</v>
      </c>
      <c r="W84">
        <v>2.11</v>
      </c>
      <c r="X84">
        <v>360</v>
      </c>
      <c r="Y84">
        <v>0.93899999999999995</v>
      </c>
      <c r="Z84">
        <v>575</v>
      </c>
      <c r="AA84">
        <v>362</v>
      </c>
      <c r="AB84">
        <v>0.16833000000000001</v>
      </c>
      <c r="AC84">
        <v>0.74397999999999997</v>
      </c>
      <c r="AD84">
        <v>2.02</v>
      </c>
      <c r="AE84">
        <v>101</v>
      </c>
      <c r="AF84">
        <v>0.96</v>
      </c>
      <c r="AG84">
        <v>575</v>
      </c>
      <c r="AH84">
        <v>121</v>
      </c>
    </row>
    <row r="85" spans="1:34" x14ac:dyDescent="0.2">
      <c r="A85" t="s">
        <v>391</v>
      </c>
      <c r="B85" t="s">
        <v>236</v>
      </c>
      <c r="C85">
        <v>2</v>
      </c>
      <c r="D85" t="s">
        <v>19</v>
      </c>
      <c r="E85" t="str">
        <f t="shared" si="1"/>
        <v>7PP2.B</v>
      </c>
      <c r="F85" t="s">
        <v>237</v>
      </c>
      <c r="G85" t="s">
        <v>238</v>
      </c>
      <c r="H85">
        <v>1</v>
      </c>
      <c r="I85" t="s">
        <v>332</v>
      </c>
      <c r="J85">
        <v>2.69</v>
      </c>
      <c r="K85" t="s">
        <v>333</v>
      </c>
      <c r="L85" t="s">
        <v>392</v>
      </c>
      <c r="M85" t="s">
        <v>235</v>
      </c>
    </row>
    <row r="86" spans="1:34" x14ac:dyDescent="0.2">
      <c r="A86" t="s">
        <v>393</v>
      </c>
      <c r="B86" t="s">
        <v>239</v>
      </c>
      <c r="C86">
        <v>1</v>
      </c>
      <c r="D86" t="s">
        <v>14</v>
      </c>
      <c r="E86" t="str">
        <f t="shared" si="1"/>
        <v>7T69.A</v>
      </c>
      <c r="F86" t="s">
        <v>240</v>
      </c>
      <c r="G86" t="s">
        <v>241</v>
      </c>
      <c r="H86">
        <v>1</v>
      </c>
      <c r="I86" t="s">
        <v>332</v>
      </c>
      <c r="J86">
        <v>1.68</v>
      </c>
      <c r="K86" t="s">
        <v>365</v>
      </c>
      <c r="L86" t="s">
        <v>365</v>
      </c>
      <c r="M86" t="s">
        <v>242</v>
      </c>
      <c r="N86">
        <v>0.54564999999999997</v>
      </c>
      <c r="O86">
        <v>0.75643000000000005</v>
      </c>
      <c r="P86">
        <v>4.29</v>
      </c>
      <c r="Q86">
        <v>378</v>
      </c>
      <c r="R86">
        <v>0.76500000000000001</v>
      </c>
      <c r="S86">
        <v>575</v>
      </c>
      <c r="T86">
        <v>394</v>
      </c>
      <c r="U86">
        <v>0.90281</v>
      </c>
      <c r="V86">
        <v>0.63166</v>
      </c>
      <c r="W86">
        <v>2.4500000000000002</v>
      </c>
      <c r="X86">
        <v>389</v>
      </c>
      <c r="Y86">
        <v>0.95899999999999996</v>
      </c>
      <c r="Z86">
        <v>575</v>
      </c>
      <c r="AA86">
        <v>394</v>
      </c>
      <c r="AB86">
        <v>0.27605000000000002</v>
      </c>
      <c r="AC86">
        <v>0.36619000000000002</v>
      </c>
      <c r="AD86">
        <v>6.82</v>
      </c>
      <c r="AE86">
        <v>239</v>
      </c>
      <c r="AF86">
        <v>0.109</v>
      </c>
      <c r="AG86">
        <v>575</v>
      </c>
      <c r="AH86">
        <v>394</v>
      </c>
    </row>
    <row r="87" spans="1:34" x14ac:dyDescent="0.2">
      <c r="A87" t="s">
        <v>393</v>
      </c>
      <c r="B87" t="s">
        <v>243</v>
      </c>
      <c r="C87">
        <v>2</v>
      </c>
      <c r="D87" t="s">
        <v>26</v>
      </c>
      <c r="E87" t="str">
        <f t="shared" si="1"/>
        <v>7T6A.A</v>
      </c>
      <c r="F87" t="s">
        <v>244</v>
      </c>
      <c r="G87" t="s">
        <v>241</v>
      </c>
      <c r="H87">
        <v>1</v>
      </c>
      <c r="I87" t="s">
        <v>332</v>
      </c>
      <c r="J87">
        <v>1.65</v>
      </c>
      <c r="K87" t="s">
        <v>365</v>
      </c>
      <c r="L87" t="s">
        <v>365</v>
      </c>
      <c r="M87" t="s">
        <v>242</v>
      </c>
    </row>
    <row r="88" spans="1:34" x14ac:dyDescent="0.2">
      <c r="A88" t="s">
        <v>394</v>
      </c>
      <c r="B88" t="s">
        <v>253</v>
      </c>
      <c r="C88">
        <v>2</v>
      </c>
      <c r="D88" t="s">
        <v>254</v>
      </c>
      <c r="E88" t="str">
        <f t="shared" si="1"/>
        <v>7XC2.B</v>
      </c>
      <c r="F88" t="s">
        <v>255</v>
      </c>
      <c r="G88" t="s">
        <v>217</v>
      </c>
      <c r="H88">
        <v>1</v>
      </c>
      <c r="I88" t="s">
        <v>395</v>
      </c>
      <c r="J88">
        <v>3</v>
      </c>
      <c r="K88" t="s">
        <v>333</v>
      </c>
      <c r="L88" t="s">
        <v>396</v>
      </c>
      <c r="M88" t="s">
        <v>252</v>
      </c>
      <c r="N88">
        <v>0.38114999999999999</v>
      </c>
      <c r="O88">
        <v>0.42748999999999998</v>
      </c>
      <c r="P88">
        <v>6.1</v>
      </c>
      <c r="Q88">
        <v>250</v>
      </c>
      <c r="R88">
        <v>0.46</v>
      </c>
      <c r="S88">
        <v>441</v>
      </c>
      <c r="T88">
        <v>379</v>
      </c>
      <c r="U88">
        <v>0.91452</v>
      </c>
      <c r="V88">
        <v>0.79276000000000002</v>
      </c>
      <c r="W88">
        <v>2.48</v>
      </c>
      <c r="X88">
        <v>379</v>
      </c>
      <c r="Y88">
        <v>0.97899999999999998</v>
      </c>
      <c r="Z88">
        <v>441</v>
      </c>
      <c r="AA88">
        <v>379</v>
      </c>
      <c r="AB88">
        <v>0.38766</v>
      </c>
      <c r="AC88">
        <v>0.44</v>
      </c>
      <c r="AD88">
        <v>5.39</v>
      </c>
      <c r="AE88">
        <v>228</v>
      </c>
      <c r="AF88">
        <v>0.48699999999999999</v>
      </c>
      <c r="AG88">
        <v>441</v>
      </c>
      <c r="AH88">
        <v>379</v>
      </c>
    </row>
    <row r="89" spans="1:34" x14ac:dyDescent="0.2">
      <c r="A89" t="s">
        <v>394</v>
      </c>
      <c r="B89" t="s">
        <v>256</v>
      </c>
      <c r="C89">
        <v>1</v>
      </c>
      <c r="D89" t="s">
        <v>26</v>
      </c>
      <c r="E89" t="str">
        <f t="shared" si="1"/>
        <v>7XDS.A</v>
      </c>
      <c r="F89" t="s">
        <v>257</v>
      </c>
      <c r="G89" t="s">
        <v>217</v>
      </c>
      <c r="H89">
        <v>1</v>
      </c>
      <c r="I89" t="s">
        <v>332</v>
      </c>
      <c r="J89">
        <v>2.06</v>
      </c>
      <c r="K89" t="s">
        <v>333</v>
      </c>
      <c r="L89" t="s">
        <v>397</v>
      </c>
      <c r="M89" t="s">
        <v>258</v>
      </c>
      <c r="N89">
        <v>0.75200999999999996</v>
      </c>
      <c r="O89">
        <v>0.75200999999999996</v>
      </c>
      <c r="P89">
        <v>1.76</v>
      </c>
      <c r="Q89">
        <v>56</v>
      </c>
      <c r="R89">
        <v>1</v>
      </c>
      <c r="S89">
        <v>60</v>
      </c>
      <c r="T89">
        <v>60</v>
      </c>
      <c r="U89">
        <v>0.83352999999999999</v>
      </c>
      <c r="V89">
        <v>0.83352999999999999</v>
      </c>
      <c r="W89">
        <v>1.73</v>
      </c>
      <c r="X89">
        <v>59</v>
      </c>
      <c r="Y89">
        <v>1</v>
      </c>
      <c r="Z89">
        <v>60</v>
      </c>
      <c r="AA89">
        <v>60</v>
      </c>
      <c r="AB89">
        <v>0.91169</v>
      </c>
      <c r="AC89">
        <v>0.91169</v>
      </c>
      <c r="AD89">
        <v>1.27</v>
      </c>
      <c r="AE89">
        <v>60</v>
      </c>
      <c r="AF89">
        <v>1</v>
      </c>
      <c r="AG89">
        <v>60</v>
      </c>
      <c r="AH89">
        <v>60</v>
      </c>
    </row>
    <row r="90" spans="1:34" x14ac:dyDescent="0.2">
      <c r="A90" t="s">
        <v>394</v>
      </c>
      <c r="B90" t="s">
        <v>263</v>
      </c>
      <c r="C90">
        <v>2</v>
      </c>
      <c r="D90" t="s">
        <v>264</v>
      </c>
      <c r="E90" t="str">
        <f t="shared" si="1"/>
        <v>7XE0.B</v>
      </c>
      <c r="F90" t="s">
        <v>257</v>
      </c>
      <c r="G90" t="s">
        <v>217</v>
      </c>
      <c r="H90">
        <v>1</v>
      </c>
      <c r="I90" t="s">
        <v>395</v>
      </c>
      <c r="J90">
        <v>3.33</v>
      </c>
      <c r="K90" t="s">
        <v>333</v>
      </c>
      <c r="L90" t="s">
        <v>398</v>
      </c>
      <c r="M90" t="s">
        <v>262</v>
      </c>
      <c r="N90">
        <v>0.61499999999999999</v>
      </c>
      <c r="O90">
        <v>0.61499999999999999</v>
      </c>
      <c r="P90">
        <v>2.2200000000000002</v>
      </c>
      <c r="Q90">
        <v>67</v>
      </c>
      <c r="R90">
        <v>0.97</v>
      </c>
      <c r="S90">
        <v>89</v>
      </c>
      <c r="T90">
        <v>89</v>
      </c>
      <c r="U90">
        <v>0.78783999999999998</v>
      </c>
      <c r="V90">
        <v>0.78783999999999998</v>
      </c>
      <c r="W90">
        <v>1.59</v>
      </c>
      <c r="X90">
        <v>79</v>
      </c>
      <c r="Y90">
        <v>1</v>
      </c>
      <c r="Z90">
        <v>89</v>
      </c>
      <c r="AA90">
        <v>89</v>
      </c>
      <c r="AB90">
        <v>0.80730000000000002</v>
      </c>
      <c r="AC90">
        <v>0.80730000000000002</v>
      </c>
      <c r="AD90">
        <v>1.21</v>
      </c>
      <c r="AE90">
        <v>77</v>
      </c>
      <c r="AF90">
        <v>1</v>
      </c>
      <c r="AG90">
        <v>89</v>
      </c>
      <c r="AH90">
        <v>89</v>
      </c>
    </row>
    <row r="91" spans="1:34" x14ac:dyDescent="0.2">
      <c r="A91" t="s">
        <v>394</v>
      </c>
      <c r="B91" t="s">
        <v>267</v>
      </c>
      <c r="C91">
        <v>2</v>
      </c>
      <c r="D91" t="s">
        <v>19</v>
      </c>
      <c r="E91" t="str">
        <f t="shared" si="1"/>
        <v>7XVG.B</v>
      </c>
      <c r="F91" t="s">
        <v>257</v>
      </c>
      <c r="G91" t="s">
        <v>217</v>
      </c>
      <c r="H91">
        <v>1</v>
      </c>
      <c r="I91" t="s">
        <v>395</v>
      </c>
      <c r="J91">
        <v>3.6</v>
      </c>
      <c r="K91" t="s">
        <v>333</v>
      </c>
      <c r="L91" t="s">
        <v>398</v>
      </c>
      <c r="M91" t="s">
        <v>266</v>
      </c>
      <c r="N91">
        <v>0.31375999999999998</v>
      </c>
      <c r="O91">
        <v>0.32385000000000003</v>
      </c>
      <c r="P91">
        <v>3.43</v>
      </c>
      <c r="Q91">
        <v>44</v>
      </c>
      <c r="R91">
        <v>0.61399999999999999</v>
      </c>
      <c r="S91">
        <v>95</v>
      </c>
      <c r="T91">
        <v>91</v>
      </c>
      <c r="U91">
        <v>0.68037000000000003</v>
      </c>
      <c r="V91">
        <v>0.65578999999999998</v>
      </c>
      <c r="W91">
        <v>2.0699999999999998</v>
      </c>
      <c r="X91">
        <v>74</v>
      </c>
      <c r="Y91">
        <v>0.94599999999999995</v>
      </c>
      <c r="Z91">
        <v>95</v>
      </c>
      <c r="AA91">
        <v>91</v>
      </c>
      <c r="AB91">
        <v>0.66210000000000002</v>
      </c>
      <c r="AC91">
        <v>0.68725999999999998</v>
      </c>
      <c r="AD91">
        <v>2.06</v>
      </c>
      <c r="AE91">
        <v>74</v>
      </c>
      <c r="AF91">
        <v>0.94599999999999995</v>
      </c>
      <c r="AG91">
        <v>95</v>
      </c>
      <c r="AH91">
        <v>91</v>
      </c>
    </row>
    <row r="92" spans="1:34" x14ac:dyDescent="0.2">
      <c r="A92" t="s">
        <v>340</v>
      </c>
      <c r="B92" t="s">
        <v>268</v>
      </c>
      <c r="C92">
        <v>1</v>
      </c>
      <c r="D92" t="s">
        <v>14</v>
      </c>
      <c r="E92" t="str">
        <f t="shared" si="1"/>
        <v>7ZJY.A</v>
      </c>
      <c r="F92" t="s">
        <v>269</v>
      </c>
      <c r="G92" t="s">
        <v>238</v>
      </c>
      <c r="H92">
        <v>1</v>
      </c>
      <c r="I92" t="s">
        <v>328</v>
      </c>
      <c r="J92">
        <v>0</v>
      </c>
      <c r="K92" t="s">
        <v>333</v>
      </c>
      <c r="L92" t="s">
        <v>379</v>
      </c>
      <c r="M92" t="s">
        <v>270</v>
      </c>
      <c r="N92">
        <v>0.74278999999999995</v>
      </c>
      <c r="O92">
        <v>0.94623000000000002</v>
      </c>
      <c r="P92">
        <v>1.39</v>
      </c>
      <c r="Q92">
        <v>112</v>
      </c>
      <c r="R92">
        <v>0.85699999999999998</v>
      </c>
      <c r="S92">
        <v>144</v>
      </c>
      <c r="T92">
        <v>112</v>
      </c>
      <c r="U92">
        <v>0.94513000000000003</v>
      </c>
      <c r="V92">
        <v>0.74214000000000002</v>
      </c>
      <c r="W92">
        <v>1.36</v>
      </c>
      <c r="X92">
        <v>112</v>
      </c>
      <c r="Y92">
        <v>0.92</v>
      </c>
      <c r="Z92">
        <v>144</v>
      </c>
      <c r="AA92">
        <v>112</v>
      </c>
      <c r="AB92">
        <v>0.73029999999999995</v>
      </c>
      <c r="AC92">
        <v>0.92734000000000005</v>
      </c>
      <c r="AD92">
        <v>1.53</v>
      </c>
      <c r="AE92">
        <v>112</v>
      </c>
      <c r="AF92">
        <v>0.86599999999999999</v>
      </c>
      <c r="AG92">
        <v>144</v>
      </c>
      <c r="AH92">
        <v>112</v>
      </c>
    </row>
    <row r="93" spans="1:34" x14ac:dyDescent="0.2">
      <c r="A93" t="s">
        <v>340</v>
      </c>
      <c r="B93" t="s">
        <v>271</v>
      </c>
      <c r="C93">
        <v>1</v>
      </c>
      <c r="D93" t="s">
        <v>14</v>
      </c>
      <c r="E93" t="str">
        <f t="shared" si="1"/>
        <v>7ZK0.A</v>
      </c>
      <c r="F93" t="s">
        <v>269</v>
      </c>
      <c r="G93" t="s">
        <v>238</v>
      </c>
      <c r="H93">
        <v>1</v>
      </c>
      <c r="I93" t="s">
        <v>328</v>
      </c>
      <c r="J93">
        <v>0</v>
      </c>
      <c r="K93" t="s">
        <v>333</v>
      </c>
      <c r="L93" t="s">
        <v>379</v>
      </c>
      <c r="M93" t="s">
        <v>270</v>
      </c>
      <c r="N93">
        <v>0.42716999999999999</v>
      </c>
      <c r="O93">
        <v>0.66642999999999997</v>
      </c>
      <c r="P93">
        <v>2.83</v>
      </c>
      <c r="Q93">
        <v>83</v>
      </c>
      <c r="R93">
        <v>0.81899999999999995</v>
      </c>
      <c r="S93">
        <v>155</v>
      </c>
      <c r="T93">
        <v>89</v>
      </c>
      <c r="U93">
        <v>0.58237000000000005</v>
      </c>
      <c r="V93">
        <v>0.37636999999999998</v>
      </c>
      <c r="W93">
        <v>2.87</v>
      </c>
      <c r="X93">
        <v>74</v>
      </c>
      <c r="Y93">
        <v>0.85099999999999998</v>
      </c>
      <c r="Z93">
        <v>155</v>
      </c>
      <c r="AA93">
        <v>89</v>
      </c>
      <c r="AB93">
        <v>0.42734</v>
      </c>
      <c r="AC93">
        <v>0.70189000000000001</v>
      </c>
      <c r="AD93">
        <v>2.02</v>
      </c>
      <c r="AE93">
        <v>74</v>
      </c>
      <c r="AF93">
        <v>1</v>
      </c>
      <c r="AG93">
        <v>155</v>
      </c>
      <c r="AH93">
        <v>89</v>
      </c>
    </row>
    <row r="94" spans="1:34" x14ac:dyDescent="0.2">
      <c r="A94" t="s">
        <v>340</v>
      </c>
      <c r="B94" t="s">
        <v>272</v>
      </c>
      <c r="C94">
        <v>1</v>
      </c>
      <c r="D94" t="s">
        <v>14</v>
      </c>
      <c r="E94" t="str">
        <f t="shared" si="1"/>
        <v>7ZKD.A</v>
      </c>
      <c r="F94" t="s">
        <v>269</v>
      </c>
      <c r="G94" t="s">
        <v>238</v>
      </c>
      <c r="H94">
        <v>1</v>
      </c>
      <c r="I94" t="s">
        <v>328</v>
      </c>
      <c r="J94">
        <v>0</v>
      </c>
      <c r="K94" t="s">
        <v>333</v>
      </c>
      <c r="L94" t="s">
        <v>379</v>
      </c>
      <c r="M94" t="s">
        <v>270</v>
      </c>
      <c r="N94">
        <v>0.85694999999999999</v>
      </c>
      <c r="O94">
        <v>0.90388000000000002</v>
      </c>
      <c r="P94">
        <v>1.6</v>
      </c>
      <c r="Q94">
        <v>135</v>
      </c>
      <c r="R94">
        <v>0.92600000000000005</v>
      </c>
      <c r="S94">
        <v>148</v>
      </c>
      <c r="T94">
        <v>140</v>
      </c>
      <c r="AB94">
        <v>0.88478999999999997</v>
      </c>
      <c r="AC94">
        <v>0.93327000000000004</v>
      </c>
      <c r="AD94">
        <v>1.32</v>
      </c>
      <c r="AE94">
        <v>138</v>
      </c>
      <c r="AF94">
        <v>0.94199999999999995</v>
      </c>
      <c r="AG94">
        <v>148</v>
      </c>
      <c r="AH94">
        <v>140</v>
      </c>
    </row>
    <row r="95" spans="1:34" x14ac:dyDescent="0.2">
      <c r="A95" t="s">
        <v>331</v>
      </c>
      <c r="B95" t="s">
        <v>273</v>
      </c>
      <c r="C95">
        <v>1</v>
      </c>
      <c r="D95" t="s">
        <v>82</v>
      </c>
      <c r="E95" t="str">
        <f t="shared" si="1"/>
        <v>8ACX.A</v>
      </c>
      <c r="F95" t="s">
        <v>274</v>
      </c>
      <c r="G95" t="s">
        <v>275</v>
      </c>
      <c r="H95">
        <v>1</v>
      </c>
      <c r="I95" t="s">
        <v>332</v>
      </c>
      <c r="J95">
        <v>1.9</v>
      </c>
      <c r="K95" t="s">
        <v>333</v>
      </c>
      <c r="L95" t="s">
        <v>378</v>
      </c>
      <c r="M95" t="s">
        <v>276</v>
      </c>
      <c r="N95">
        <v>0.83274000000000004</v>
      </c>
      <c r="O95">
        <v>0.92283999999999999</v>
      </c>
      <c r="P95">
        <v>1.34</v>
      </c>
      <c r="Q95">
        <v>130</v>
      </c>
      <c r="R95">
        <v>0.91500000000000004</v>
      </c>
      <c r="S95">
        <v>148</v>
      </c>
      <c r="T95">
        <v>133</v>
      </c>
      <c r="AB95">
        <v>0.84792999999999996</v>
      </c>
      <c r="AC95">
        <v>0.94021999999999994</v>
      </c>
      <c r="AD95">
        <v>1.1599999999999999</v>
      </c>
      <c r="AE95">
        <v>131</v>
      </c>
      <c r="AF95">
        <v>0.95399999999999996</v>
      </c>
      <c r="AG95">
        <v>148</v>
      </c>
      <c r="AH95">
        <v>133</v>
      </c>
    </row>
    <row r="96" spans="1:34" x14ac:dyDescent="0.2">
      <c r="A96" t="s">
        <v>340</v>
      </c>
      <c r="B96" t="s">
        <v>277</v>
      </c>
      <c r="C96">
        <v>1</v>
      </c>
      <c r="D96" t="s">
        <v>14</v>
      </c>
      <c r="E96" t="str">
        <f t="shared" si="1"/>
        <v>8C8A.A</v>
      </c>
      <c r="F96" t="s">
        <v>278</v>
      </c>
      <c r="G96" t="s">
        <v>279</v>
      </c>
      <c r="H96">
        <v>1</v>
      </c>
      <c r="I96" t="s">
        <v>328</v>
      </c>
      <c r="J96">
        <v>0</v>
      </c>
      <c r="K96" t="s">
        <v>333</v>
      </c>
      <c r="L96" t="s">
        <v>379</v>
      </c>
      <c r="M96" t="s">
        <v>280</v>
      </c>
      <c r="N96">
        <v>0.26844000000000001</v>
      </c>
      <c r="O96">
        <v>0.27837000000000001</v>
      </c>
      <c r="P96">
        <v>4.3899999999999997</v>
      </c>
      <c r="Q96">
        <v>48</v>
      </c>
      <c r="R96">
        <v>0.104</v>
      </c>
      <c r="S96">
        <v>95</v>
      </c>
      <c r="T96">
        <v>89</v>
      </c>
      <c r="U96">
        <v>0.79247999999999996</v>
      </c>
      <c r="V96">
        <v>0.74892000000000003</v>
      </c>
      <c r="W96">
        <v>1.99</v>
      </c>
      <c r="X96">
        <v>84</v>
      </c>
      <c r="Y96">
        <v>0.83299999999999996</v>
      </c>
      <c r="Z96">
        <v>95</v>
      </c>
      <c r="AA96">
        <v>89</v>
      </c>
      <c r="AB96">
        <v>0.35630000000000001</v>
      </c>
      <c r="AC96">
        <v>0.37175999999999998</v>
      </c>
      <c r="AD96">
        <v>3.94</v>
      </c>
      <c r="AE96">
        <v>58</v>
      </c>
      <c r="AF96">
        <v>0.13800000000000001</v>
      </c>
      <c r="AG96">
        <v>95</v>
      </c>
      <c r="AH96">
        <v>89</v>
      </c>
    </row>
    <row r="97" spans="1:34" x14ac:dyDescent="0.2">
      <c r="A97" t="s">
        <v>399</v>
      </c>
      <c r="B97" t="s">
        <v>281</v>
      </c>
      <c r="C97">
        <v>1</v>
      </c>
      <c r="D97" t="s">
        <v>35</v>
      </c>
      <c r="E97" t="str">
        <f t="shared" si="1"/>
        <v>8DP8.A</v>
      </c>
      <c r="F97" t="s">
        <v>282</v>
      </c>
      <c r="G97" t="s">
        <v>59</v>
      </c>
      <c r="H97">
        <v>1</v>
      </c>
      <c r="I97" t="s">
        <v>332</v>
      </c>
      <c r="J97">
        <v>2.2999999999999998</v>
      </c>
      <c r="K97" t="s">
        <v>333</v>
      </c>
      <c r="L97" t="s">
        <v>400</v>
      </c>
      <c r="M97" t="s">
        <v>283</v>
      </c>
      <c r="N97">
        <v>0.37218000000000001</v>
      </c>
      <c r="O97">
        <v>0.37369000000000002</v>
      </c>
      <c r="P97">
        <v>5.3</v>
      </c>
      <c r="Q97">
        <v>109</v>
      </c>
      <c r="R97">
        <v>0.67900000000000005</v>
      </c>
      <c r="S97">
        <v>170</v>
      </c>
      <c r="T97">
        <v>169</v>
      </c>
      <c r="U97">
        <v>0.98340000000000005</v>
      </c>
      <c r="V97">
        <v>0.97770000000000001</v>
      </c>
      <c r="W97">
        <v>0.65</v>
      </c>
      <c r="X97">
        <v>169</v>
      </c>
      <c r="Y97">
        <v>1</v>
      </c>
      <c r="Z97">
        <v>170</v>
      </c>
      <c r="AA97">
        <v>169</v>
      </c>
      <c r="AB97">
        <v>0.98358999999999996</v>
      </c>
      <c r="AC97">
        <v>0.98934999999999995</v>
      </c>
      <c r="AD97">
        <v>0.51</v>
      </c>
      <c r="AE97">
        <v>169</v>
      </c>
      <c r="AF97">
        <v>1</v>
      </c>
      <c r="AG97">
        <v>170</v>
      </c>
      <c r="AH97">
        <v>169</v>
      </c>
    </row>
    <row r="98" spans="1:34" x14ac:dyDescent="0.2">
      <c r="A98" t="s">
        <v>399</v>
      </c>
      <c r="B98" t="s">
        <v>284</v>
      </c>
      <c r="C98">
        <v>1</v>
      </c>
      <c r="D98" t="s">
        <v>26</v>
      </c>
      <c r="E98" t="str">
        <f t="shared" si="1"/>
        <v>8DP9.A</v>
      </c>
      <c r="F98" t="s">
        <v>285</v>
      </c>
      <c r="G98" t="s">
        <v>59</v>
      </c>
      <c r="H98">
        <v>1</v>
      </c>
      <c r="I98" t="s">
        <v>332</v>
      </c>
      <c r="J98">
        <v>1.76</v>
      </c>
      <c r="K98" t="s">
        <v>333</v>
      </c>
      <c r="L98" t="s">
        <v>400</v>
      </c>
      <c r="M98" t="s">
        <v>283</v>
      </c>
    </row>
    <row r="99" spans="1:34" x14ac:dyDescent="0.2">
      <c r="A99" t="s">
        <v>335</v>
      </c>
      <c r="B99" t="s">
        <v>286</v>
      </c>
      <c r="C99">
        <v>1</v>
      </c>
      <c r="D99" t="s">
        <v>14</v>
      </c>
      <c r="E99" t="str">
        <f t="shared" si="1"/>
        <v>8EB9.A</v>
      </c>
      <c r="F99" t="s">
        <v>287</v>
      </c>
      <c r="G99" t="s">
        <v>241</v>
      </c>
      <c r="H99">
        <v>1</v>
      </c>
      <c r="I99" t="s">
        <v>332</v>
      </c>
      <c r="J99">
        <v>1.28</v>
      </c>
      <c r="K99" t="s">
        <v>365</v>
      </c>
      <c r="L99" t="s">
        <v>365</v>
      </c>
      <c r="M99" t="s">
        <v>288</v>
      </c>
      <c r="N99">
        <v>0.34482000000000002</v>
      </c>
      <c r="O99">
        <v>0.34482000000000002</v>
      </c>
      <c r="P99">
        <v>4.1500000000000004</v>
      </c>
      <c r="Q99">
        <v>56</v>
      </c>
      <c r="R99">
        <v>3.5999999999999997E-2</v>
      </c>
      <c r="S99">
        <v>93</v>
      </c>
      <c r="T99">
        <v>93</v>
      </c>
      <c r="U99">
        <v>0.89117999999999997</v>
      </c>
      <c r="V99">
        <v>0.89117999999999997</v>
      </c>
      <c r="W99">
        <v>1.44</v>
      </c>
      <c r="X99">
        <v>93</v>
      </c>
      <c r="Y99">
        <v>1</v>
      </c>
      <c r="Z99">
        <v>93</v>
      </c>
      <c r="AA99">
        <v>93</v>
      </c>
      <c r="AB99">
        <v>0.90854999999999997</v>
      </c>
      <c r="AC99">
        <v>0.90854999999999997</v>
      </c>
      <c r="AD99">
        <v>1.67</v>
      </c>
      <c r="AE99">
        <v>93</v>
      </c>
      <c r="AF99">
        <v>1</v>
      </c>
      <c r="AG99">
        <v>93</v>
      </c>
      <c r="AH99">
        <v>93</v>
      </c>
    </row>
    <row r="100" spans="1:34" x14ac:dyDescent="0.2">
      <c r="A100" t="s">
        <v>393</v>
      </c>
      <c r="B100" t="s">
        <v>289</v>
      </c>
      <c r="C100">
        <v>2</v>
      </c>
      <c r="D100" t="s">
        <v>26</v>
      </c>
      <c r="E100" t="str">
        <f t="shared" si="1"/>
        <v>8EBB.A</v>
      </c>
      <c r="F100" t="s">
        <v>290</v>
      </c>
      <c r="G100" t="s">
        <v>241</v>
      </c>
      <c r="H100">
        <v>1</v>
      </c>
      <c r="I100" t="s">
        <v>332</v>
      </c>
      <c r="J100">
        <v>1.88</v>
      </c>
      <c r="K100" t="s">
        <v>365</v>
      </c>
      <c r="L100" t="s">
        <v>365</v>
      </c>
      <c r="M100" t="s">
        <v>288</v>
      </c>
      <c r="N100">
        <v>0.82735000000000003</v>
      </c>
      <c r="O100">
        <v>0.90222000000000002</v>
      </c>
      <c r="P100">
        <v>1.4</v>
      </c>
      <c r="Q100">
        <v>91</v>
      </c>
      <c r="R100">
        <v>1</v>
      </c>
      <c r="S100">
        <v>104</v>
      </c>
      <c r="T100">
        <v>95</v>
      </c>
      <c r="U100">
        <v>0.94277</v>
      </c>
      <c r="V100">
        <v>0.86389000000000005</v>
      </c>
      <c r="W100">
        <v>1.1499999999999999</v>
      </c>
      <c r="X100">
        <v>94</v>
      </c>
      <c r="Y100">
        <v>0.98899999999999999</v>
      </c>
      <c r="Z100">
        <v>104</v>
      </c>
      <c r="AA100">
        <v>95</v>
      </c>
      <c r="AB100">
        <v>0.84353</v>
      </c>
      <c r="AC100">
        <v>0.92079</v>
      </c>
      <c r="AD100">
        <v>0.95</v>
      </c>
      <c r="AE100">
        <v>91</v>
      </c>
      <c r="AF100">
        <v>0.98899999999999999</v>
      </c>
      <c r="AG100">
        <v>104</v>
      </c>
      <c r="AH100">
        <v>95</v>
      </c>
    </row>
    <row r="101" spans="1:34" x14ac:dyDescent="0.2">
      <c r="A101" t="s">
        <v>372</v>
      </c>
      <c r="B101" t="s">
        <v>292</v>
      </c>
      <c r="C101">
        <v>1</v>
      </c>
      <c r="D101" t="s">
        <v>26</v>
      </c>
      <c r="E101" t="str">
        <f t="shared" si="1"/>
        <v>8OXH.A</v>
      </c>
      <c r="F101" t="s">
        <v>293</v>
      </c>
      <c r="G101" t="s">
        <v>294</v>
      </c>
      <c r="H101">
        <v>1</v>
      </c>
      <c r="I101" t="s">
        <v>332</v>
      </c>
      <c r="J101">
        <v>2.5</v>
      </c>
      <c r="K101" t="s">
        <v>333</v>
      </c>
      <c r="L101" t="s">
        <v>401</v>
      </c>
      <c r="M101" t="s">
        <v>295</v>
      </c>
      <c r="N101">
        <v>0.66251000000000004</v>
      </c>
      <c r="O101">
        <v>0.69735000000000003</v>
      </c>
      <c r="P101">
        <v>2.87</v>
      </c>
      <c r="Q101">
        <v>85</v>
      </c>
      <c r="R101">
        <v>0.72899999999999998</v>
      </c>
      <c r="S101">
        <v>98</v>
      </c>
      <c r="T101">
        <v>92</v>
      </c>
      <c r="U101">
        <v>0.58387</v>
      </c>
      <c r="V101">
        <v>0.55489999999999995</v>
      </c>
      <c r="W101">
        <v>2.77</v>
      </c>
      <c r="X101">
        <v>71</v>
      </c>
      <c r="Y101">
        <v>0.67600000000000005</v>
      </c>
      <c r="Z101">
        <v>98</v>
      </c>
      <c r="AA101">
        <v>92</v>
      </c>
      <c r="AB101">
        <v>0.39112000000000002</v>
      </c>
      <c r="AC101">
        <v>0.41082999999999997</v>
      </c>
      <c r="AD101">
        <v>3.39</v>
      </c>
      <c r="AE101">
        <v>54</v>
      </c>
      <c r="AF101">
        <v>0.72199999999999998</v>
      </c>
      <c r="AG101">
        <v>98</v>
      </c>
      <c r="AH101">
        <v>92</v>
      </c>
    </row>
    <row r="102" spans="1:34" x14ac:dyDescent="0.2">
      <c r="A102" t="s">
        <v>372</v>
      </c>
      <c r="B102" t="s">
        <v>296</v>
      </c>
      <c r="C102">
        <v>1</v>
      </c>
      <c r="D102" t="s">
        <v>14</v>
      </c>
      <c r="E102" t="str">
        <f t="shared" si="1"/>
        <v>8OXI.A</v>
      </c>
      <c r="F102" t="s">
        <v>297</v>
      </c>
      <c r="G102" t="s">
        <v>298</v>
      </c>
      <c r="H102">
        <v>1</v>
      </c>
      <c r="I102" t="s">
        <v>332</v>
      </c>
      <c r="J102">
        <v>1.51</v>
      </c>
      <c r="K102" t="s">
        <v>333</v>
      </c>
      <c r="L102" t="s">
        <v>401</v>
      </c>
      <c r="M102" t="s">
        <v>295</v>
      </c>
      <c r="N102">
        <v>0.71560999999999997</v>
      </c>
      <c r="O102">
        <v>0.74746999999999997</v>
      </c>
      <c r="P102">
        <v>2.33</v>
      </c>
      <c r="Q102">
        <v>87</v>
      </c>
      <c r="R102">
        <v>0.90800000000000003</v>
      </c>
      <c r="S102">
        <v>99</v>
      </c>
      <c r="T102">
        <v>94</v>
      </c>
      <c r="U102">
        <v>0.62868999999999997</v>
      </c>
      <c r="V102">
        <v>0.60185</v>
      </c>
      <c r="W102">
        <v>2.14</v>
      </c>
      <c r="X102">
        <v>72</v>
      </c>
      <c r="Y102">
        <v>0.75</v>
      </c>
      <c r="Z102">
        <v>99</v>
      </c>
      <c r="AA102">
        <v>94</v>
      </c>
      <c r="AB102">
        <v>0.31275999999999998</v>
      </c>
      <c r="AC102">
        <v>0.32583000000000001</v>
      </c>
      <c r="AD102">
        <v>3.27</v>
      </c>
      <c r="AE102">
        <v>43</v>
      </c>
      <c r="AF102">
        <v>0.58099999999999996</v>
      </c>
      <c r="AG102">
        <v>99</v>
      </c>
      <c r="AH102">
        <v>94</v>
      </c>
    </row>
    <row r="103" spans="1:34" x14ac:dyDescent="0.2">
      <c r="A103" t="s">
        <v>372</v>
      </c>
      <c r="B103" t="s">
        <v>299</v>
      </c>
      <c r="C103">
        <v>1</v>
      </c>
      <c r="D103" t="s">
        <v>26</v>
      </c>
      <c r="E103" t="str">
        <f t="shared" si="1"/>
        <v>8OXJ.A</v>
      </c>
      <c r="F103" t="s">
        <v>300</v>
      </c>
      <c r="G103" t="s">
        <v>294</v>
      </c>
      <c r="H103">
        <v>1</v>
      </c>
      <c r="I103" t="s">
        <v>332</v>
      </c>
      <c r="J103">
        <v>1.64</v>
      </c>
      <c r="K103" t="s">
        <v>333</v>
      </c>
      <c r="L103" t="s">
        <v>401</v>
      </c>
      <c r="M103" t="s">
        <v>295</v>
      </c>
      <c r="N103">
        <v>0.36121999999999999</v>
      </c>
      <c r="O103">
        <v>0.36121999999999999</v>
      </c>
      <c r="P103">
        <v>4.47</v>
      </c>
      <c r="Q103">
        <v>61</v>
      </c>
      <c r="R103">
        <v>0.23</v>
      </c>
      <c r="S103">
        <v>92</v>
      </c>
      <c r="T103">
        <v>92</v>
      </c>
      <c r="U103">
        <v>0.93394999999999995</v>
      </c>
      <c r="V103">
        <v>0.93394999999999995</v>
      </c>
      <c r="W103">
        <v>1.03</v>
      </c>
      <c r="X103">
        <v>92</v>
      </c>
      <c r="Y103">
        <v>1</v>
      </c>
      <c r="Z103">
        <v>92</v>
      </c>
      <c r="AA103">
        <v>92</v>
      </c>
      <c r="AB103">
        <v>0.91679999999999995</v>
      </c>
      <c r="AC103">
        <v>0.91679999999999995</v>
      </c>
      <c r="AD103">
        <v>1.86</v>
      </c>
      <c r="AE103">
        <v>92</v>
      </c>
      <c r="AF103">
        <v>1</v>
      </c>
      <c r="AG103">
        <v>92</v>
      </c>
      <c r="AH103">
        <v>92</v>
      </c>
    </row>
    <row r="104" spans="1:34" x14ac:dyDescent="0.2">
      <c r="A104" t="s">
        <v>372</v>
      </c>
      <c r="B104" t="s">
        <v>301</v>
      </c>
      <c r="C104">
        <v>1</v>
      </c>
      <c r="D104" t="s">
        <v>14</v>
      </c>
      <c r="E104" t="str">
        <f t="shared" si="1"/>
        <v>8OXK.A</v>
      </c>
      <c r="F104" t="s">
        <v>302</v>
      </c>
      <c r="G104" t="s">
        <v>294</v>
      </c>
      <c r="H104">
        <v>1</v>
      </c>
      <c r="I104" t="s">
        <v>332</v>
      </c>
      <c r="J104">
        <v>1.37</v>
      </c>
      <c r="K104" t="s">
        <v>333</v>
      </c>
      <c r="L104" t="s">
        <v>401</v>
      </c>
      <c r="M104" t="s">
        <v>295</v>
      </c>
    </row>
    <row r="105" spans="1:34" x14ac:dyDescent="0.2">
      <c r="A105" t="s">
        <v>372</v>
      </c>
      <c r="B105" t="s">
        <v>303</v>
      </c>
      <c r="C105">
        <v>1</v>
      </c>
      <c r="D105" t="s">
        <v>26</v>
      </c>
      <c r="E105" t="str">
        <f t="shared" si="1"/>
        <v>8OXL.A</v>
      </c>
      <c r="F105" t="s">
        <v>304</v>
      </c>
      <c r="G105" t="s">
        <v>305</v>
      </c>
      <c r="H105">
        <v>1</v>
      </c>
      <c r="I105" t="s">
        <v>332</v>
      </c>
      <c r="J105">
        <v>1.56</v>
      </c>
      <c r="K105" t="s">
        <v>333</v>
      </c>
      <c r="L105" t="s">
        <v>401</v>
      </c>
      <c r="M105" t="s">
        <v>295</v>
      </c>
      <c r="N105">
        <v>0.42888999999999999</v>
      </c>
      <c r="O105">
        <v>0.52705999999999997</v>
      </c>
      <c r="P105">
        <v>3.54</v>
      </c>
      <c r="Q105">
        <v>84</v>
      </c>
      <c r="R105">
        <v>0.69</v>
      </c>
      <c r="S105">
        <v>145</v>
      </c>
      <c r="T105">
        <v>112</v>
      </c>
      <c r="U105">
        <v>0.66342000000000001</v>
      </c>
      <c r="V105">
        <v>0.52981999999999996</v>
      </c>
      <c r="W105">
        <v>2.96</v>
      </c>
      <c r="X105">
        <v>93</v>
      </c>
      <c r="Y105">
        <v>0.84899999999999998</v>
      </c>
      <c r="Z105">
        <v>145</v>
      </c>
      <c r="AA105">
        <v>112</v>
      </c>
      <c r="AB105">
        <v>0.59228999999999998</v>
      </c>
      <c r="AC105">
        <v>0.75524999999999998</v>
      </c>
      <c r="AD105">
        <v>2.16</v>
      </c>
      <c r="AE105">
        <v>94</v>
      </c>
      <c r="AF105">
        <v>0.93600000000000005</v>
      </c>
      <c r="AG105">
        <v>145</v>
      </c>
      <c r="AH105">
        <v>112</v>
      </c>
    </row>
    <row r="106" spans="1:34" x14ac:dyDescent="0.2">
      <c r="A106" t="s">
        <v>340</v>
      </c>
      <c r="B106" t="s">
        <v>309</v>
      </c>
      <c r="C106">
        <v>2</v>
      </c>
      <c r="D106" t="s">
        <v>19</v>
      </c>
      <c r="E106" t="str">
        <f t="shared" si="1"/>
        <v>8R7A.B</v>
      </c>
      <c r="F106" t="s">
        <v>310</v>
      </c>
      <c r="G106" t="s">
        <v>238</v>
      </c>
      <c r="H106">
        <v>1</v>
      </c>
      <c r="I106" t="s">
        <v>332</v>
      </c>
      <c r="J106">
        <v>1.8</v>
      </c>
      <c r="K106" t="s">
        <v>333</v>
      </c>
      <c r="L106" t="s">
        <v>402</v>
      </c>
      <c r="M106" t="s">
        <v>308</v>
      </c>
      <c r="N106">
        <v>0.34650999999999998</v>
      </c>
      <c r="O106">
        <v>0.35709000000000002</v>
      </c>
      <c r="P106">
        <v>4.53</v>
      </c>
      <c r="Q106">
        <v>68</v>
      </c>
      <c r="R106">
        <v>0.441</v>
      </c>
      <c r="S106">
        <v>120</v>
      </c>
      <c r="T106">
        <v>115</v>
      </c>
      <c r="U106">
        <v>0.65810999999999997</v>
      </c>
      <c r="V106">
        <v>0.63702000000000003</v>
      </c>
      <c r="W106">
        <v>3.2</v>
      </c>
      <c r="X106">
        <v>108</v>
      </c>
      <c r="Y106">
        <v>0.89800000000000002</v>
      </c>
      <c r="Z106">
        <v>120</v>
      </c>
      <c r="AA106">
        <v>115</v>
      </c>
      <c r="AB106">
        <v>0.65234999999999999</v>
      </c>
      <c r="AC106">
        <v>0.67356000000000005</v>
      </c>
      <c r="AD106">
        <v>2.97</v>
      </c>
      <c r="AE106">
        <v>108</v>
      </c>
      <c r="AF106">
        <v>0.78700000000000003</v>
      </c>
      <c r="AG106">
        <v>120</v>
      </c>
      <c r="AH106">
        <v>115</v>
      </c>
    </row>
    <row r="107" spans="1:34" x14ac:dyDescent="0.2">
      <c r="A107" t="s">
        <v>327</v>
      </c>
      <c r="B107" t="s">
        <v>311</v>
      </c>
      <c r="C107">
        <v>1</v>
      </c>
      <c r="D107" t="s">
        <v>26</v>
      </c>
      <c r="E107" t="str">
        <f t="shared" si="1"/>
        <v>8V1J.A</v>
      </c>
      <c r="F107" t="s">
        <v>312</v>
      </c>
      <c r="G107" t="s">
        <v>217</v>
      </c>
      <c r="H107">
        <v>1</v>
      </c>
      <c r="I107" t="s">
        <v>332</v>
      </c>
      <c r="J107">
        <v>2.42</v>
      </c>
      <c r="K107" t="s">
        <v>333</v>
      </c>
      <c r="L107" t="s">
        <v>403</v>
      </c>
      <c r="M107" t="s">
        <v>313</v>
      </c>
      <c r="N107">
        <v>0.23483000000000001</v>
      </c>
      <c r="O107">
        <v>0.28069</v>
      </c>
      <c r="P107">
        <v>5.43</v>
      </c>
      <c r="Q107">
        <v>91</v>
      </c>
      <c r="R107">
        <v>5.5E-2</v>
      </c>
      <c r="S107">
        <v>239</v>
      </c>
      <c r="T107">
        <v>185</v>
      </c>
      <c r="U107">
        <v>0.53358000000000005</v>
      </c>
      <c r="V107">
        <v>0.42877999999999999</v>
      </c>
      <c r="W107">
        <v>3.82</v>
      </c>
      <c r="X107">
        <v>130</v>
      </c>
      <c r="Y107">
        <v>0.53800000000000003</v>
      </c>
      <c r="Z107">
        <v>239</v>
      </c>
      <c r="AA107">
        <v>185</v>
      </c>
      <c r="AB107">
        <v>0.4325</v>
      </c>
      <c r="AC107">
        <v>0.53554999999999997</v>
      </c>
      <c r="AD107">
        <v>4.34</v>
      </c>
      <c r="AE107">
        <v>137</v>
      </c>
      <c r="AF107">
        <v>0.73</v>
      </c>
      <c r="AG107">
        <v>239</v>
      </c>
      <c r="AH107">
        <v>185</v>
      </c>
    </row>
    <row r="108" spans="1:34" x14ac:dyDescent="0.2">
      <c r="A108" t="s">
        <v>404</v>
      </c>
      <c r="B108" t="s">
        <v>314</v>
      </c>
      <c r="C108">
        <v>1</v>
      </c>
      <c r="D108" t="s">
        <v>14</v>
      </c>
      <c r="E108" t="str">
        <f t="shared" si="1"/>
        <v>9FEI.A</v>
      </c>
      <c r="F108" t="s">
        <v>315</v>
      </c>
      <c r="G108" t="s">
        <v>16</v>
      </c>
      <c r="H108">
        <v>1</v>
      </c>
      <c r="I108" t="s">
        <v>332</v>
      </c>
      <c r="J108">
        <v>1.47</v>
      </c>
      <c r="K108" t="s">
        <v>405</v>
      </c>
      <c r="L108" t="s">
        <v>406</v>
      </c>
      <c r="M108" t="s">
        <v>316</v>
      </c>
    </row>
    <row r="109" spans="1:34" x14ac:dyDescent="0.2">
      <c r="A109" t="s">
        <v>372</v>
      </c>
      <c r="B109" t="s">
        <v>321</v>
      </c>
      <c r="C109">
        <v>2</v>
      </c>
      <c r="D109" t="s">
        <v>19</v>
      </c>
      <c r="E109" t="str">
        <f t="shared" si="1"/>
        <v>9FYC.B</v>
      </c>
      <c r="F109" t="s">
        <v>322</v>
      </c>
      <c r="G109" t="s">
        <v>323</v>
      </c>
      <c r="H109">
        <v>1</v>
      </c>
      <c r="I109" t="s">
        <v>395</v>
      </c>
      <c r="J109">
        <v>3.8</v>
      </c>
      <c r="K109" t="s">
        <v>333</v>
      </c>
      <c r="L109" t="s">
        <v>407</v>
      </c>
      <c r="M109" t="s">
        <v>320</v>
      </c>
      <c r="N109">
        <v>0.50146999999999997</v>
      </c>
      <c r="O109">
        <v>0.58874000000000004</v>
      </c>
      <c r="P109">
        <v>3.27</v>
      </c>
      <c r="Q109">
        <v>86</v>
      </c>
      <c r="R109">
        <v>0.54700000000000004</v>
      </c>
      <c r="S109">
        <v>122</v>
      </c>
      <c r="T109">
        <v>98</v>
      </c>
      <c r="U109">
        <v>0.91274</v>
      </c>
      <c r="V109">
        <v>0.74292000000000002</v>
      </c>
      <c r="W109">
        <v>1.1499999999999999</v>
      </c>
      <c r="X109">
        <v>96</v>
      </c>
      <c r="Y109">
        <v>1</v>
      </c>
      <c r="Z109">
        <v>122</v>
      </c>
      <c r="AA109">
        <v>98</v>
      </c>
      <c r="AB109">
        <v>0.74682000000000004</v>
      </c>
      <c r="AC109">
        <v>0.91864999999999997</v>
      </c>
      <c r="AD109">
        <v>1.1100000000000001</v>
      </c>
      <c r="AE109">
        <v>96</v>
      </c>
      <c r="AF109">
        <v>1</v>
      </c>
      <c r="AG109">
        <v>122</v>
      </c>
      <c r="AH109">
        <v>98</v>
      </c>
    </row>
  </sheetData>
  <mergeCells count="6">
    <mergeCell ref="AB5:AH5"/>
    <mergeCell ref="A1:K2"/>
    <mergeCell ref="A3:K3"/>
    <mergeCell ref="A4:C4"/>
    <mergeCell ref="N5:T5"/>
    <mergeCell ref="U5:AA5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662-4A00-6145-9F9C-587F3EE108FE}">
  <dimension ref="A1:AA104"/>
  <sheetViews>
    <sheetView workbookViewId="0">
      <selection activeCell="G1" sqref="G1:AA104"/>
    </sheetView>
  </sheetViews>
  <sheetFormatPr baseColWidth="10" defaultRowHeight="16" x14ac:dyDescent="0.2"/>
  <sheetData>
    <row r="1" spans="1:27" x14ac:dyDescent="0.2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480</v>
      </c>
      <c r="H1" t="s">
        <v>478</v>
      </c>
      <c r="I1" t="s">
        <v>481</v>
      </c>
      <c r="J1" t="s">
        <v>482</v>
      </c>
      <c r="K1" t="s">
        <v>483</v>
      </c>
      <c r="L1" t="s">
        <v>497</v>
      </c>
      <c r="M1" t="s">
        <v>484</v>
      </c>
      <c r="N1" t="s">
        <v>485</v>
      </c>
      <c r="O1" t="s">
        <v>486</v>
      </c>
      <c r="P1" t="s">
        <v>487</v>
      </c>
      <c r="Q1" t="s">
        <v>488</v>
      </c>
      <c r="R1" t="s">
        <v>489</v>
      </c>
      <c r="S1" t="s">
        <v>490</v>
      </c>
      <c r="T1" t="s">
        <v>491</v>
      </c>
      <c r="U1" t="s">
        <v>477</v>
      </c>
      <c r="V1" t="s">
        <v>498</v>
      </c>
      <c r="W1" t="s">
        <v>410</v>
      </c>
      <c r="X1" t="s">
        <v>411</v>
      </c>
      <c r="Y1" t="s">
        <v>412</v>
      </c>
      <c r="Z1" t="s">
        <v>499</v>
      </c>
      <c r="AA1" t="s">
        <v>414</v>
      </c>
    </row>
    <row r="2" spans="1:27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415</v>
      </c>
      <c r="G2">
        <v>0.99131000000000002</v>
      </c>
      <c r="H2">
        <v>0.99131000000000002</v>
      </c>
      <c r="I2">
        <v>0.53</v>
      </c>
      <c r="J2">
        <v>224</v>
      </c>
      <c r="K2">
        <v>1</v>
      </c>
      <c r="L2">
        <v>224</v>
      </c>
      <c r="M2">
        <v>224</v>
      </c>
      <c r="N2">
        <v>0.99351</v>
      </c>
      <c r="O2">
        <v>0.99351</v>
      </c>
      <c r="P2">
        <v>0.45</v>
      </c>
      <c r="Q2">
        <v>224</v>
      </c>
      <c r="R2">
        <v>1</v>
      </c>
      <c r="S2">
        <v>224</v>
      </c>
      <c r="T2">
        <v>224</v>
      </c>
      <c r="U2">
        <v>0.99417999999999995</v>
      </c>
      <c r="V2">
        <v>0.99417999999999995</v>
      </c>
      <c r="W2">
        <v>0.43</v>
      </c>
      <c r="X2">
        <v>224</v>
      </c>
      <c r="Y2">
        <v>1</v>
      </c>
      <c r="Z2">
        <v>224</v>
      </c>
      <c r="AA2">
        <v>224</v>
      </c>
    </row>
    <row r="3" spans="1:27" x14ac:dyDescent="0.2">
      <c r="A3" t="s">
        <v>18</v>
      </c>
      <c r="B3" t="s">
        <v>19</v>
      </c>
      <c r="C3" t="s">
        <v>20</v>
      </c>
      <c r="E3">
        <v>0</v>
      </c>
      <c r="F3" t="s">
        <v>415</v>
      </c>
    </row>
    <row r="4" spans="1:27" x14ac:dyDescent="0.2">
      <c r="A4" t="s">
        <v>21</v>
      </c>
      <c r="B4" t="s">
        <v>14</v>
      </c>
      <c r="C4" t="s">
        <v>22</v>
      </c>
      <c r="D4" t="s">
        <v>23</v>
      </c>
      <c r="E4">
        <v>1</v>
      </c>
      <c r="F4" t="s">
        <v>416</v>
      </c>
      <c r="G4">
        <v>0.30002000000000001</v>
      </c>
      <c r="H4">
        <v>0.30002000000000001</v>
      </c>
      <c r="I4">
        <v>3.72</v>
      </c>
      <c r="J4">
        <v>36</v>
      </c>
      <c r="K4">
        <v>0.13900000000000001</v>
      </c>
      <c r="L4">
        <v>60</v>
      </c>
      <c r="M4">
        <v>60</v>
      </c>
      <c r="N4">
        <v>0.36764000000000002</v>
      </c>
      <c r="O4">
        <v>0.36764000000000002</v>
      </c>
      <c r="P4">
        <v>3.51</v>
      </c>
      <c r="Q4">
        <v>41</v>
      </c>
      <c r="R4">
        <v>0.24399999999999999</v>
      </c>
      <c r="S4">
        <v>60</v>
      </c>
      <c r="T4">
        <v>60</v>
      </c>
      <c r="U4">
        <v>0.39532</v>
      </c>
      <c r="V4">
        <v>0.39532</v>
      </c>
      <c r="W4">
        <v>2.4500000000000002</v>
      </c>
      <c r="X4">
        <v>35</v>
      </c>
      <c r="Y4">
        <v>0.45700000000000002</v>
      </c>
      <c r="Z4">
        <v>60</v>
      </c>
      <c r="AA4">
        <v>60</v>
      </c>
    </row>
    <row r="5" spans="1:27" x14ac:dyDescent="0.2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417</v>
      </c>
      <c r="G5">
        <v>0.96011999999999997</v>
      </c>
      <c r="H5">
        <v>0.96011999999999997</v>
      </c>
      <c r="I5">
        <v>0.85</v>
      </c>
      <c r="J5">
        <v>105</v>
      </c>
      <c r="K5">
        <v>1</v>
      </c>
      <c r="L5">
        <v>105</v>
      </c>
      <c r="M5">
        <v>105</v>
      </c>
      <c r="N5">
        <v>0.97702</v>
      </c>
      <c r="O5">
        <v>0.97702</v>
      </c>
      <c r="P5">
        <v>0.64</v>
      </c>
      <c r="Q5">
        <v>105</v>
      </c>
      <c r="R5">
        <v>1</v>
      </c>
      <c r="S5">
        <v>105</v>
      </c>
      <c r="T5">
        <v>105</v>
      </c>
      <c r="U5">
        <v>0.98372999999999999</v>
      </c>
      <c r="V5">
        <v>0.98372999999999999</v>
      </c>
      <c r="W5">
        <v>0.53</v>
      </c>
      <c r="X5">
        <v>105</v>
      </c>
      <c r="Y5">
        <v>1</v>
      </c>
      <c r="Z5">
        <v>105</v>
      </c>
      <c r="AA5">
        <v>105</v>
      </c>
    </row>
    <row r="6" spans="1:27" x14ac:dyDescent="0.2">
      <c r="A6" t="s">
        <v>30</v>
      </c>
      <c r="B6" t="s">
        <v>14</v>
      </c>
      <c r="C6" t="s">
        <v>31</v>
      </c>
      <c r="D6" t="s">
        <v>32</v>
      </c>
      <c r="E6">
        <v>1</v>
      </c>
      <c r="F6" t="s">
        <v>418</v>
      </c>
      <c r="G6">
        <v>0.47665000000000002</v>
      </c>
      <c r="H6">
        <v>0.53198000000000001</v>
      </c>
      <c r="I6">
        <v>3.66</v>
      </c>
      <c r="J6">
        <v>81</v>
      </c>
      <c r="K6">
        <v>0.45700000000000002</v>
      </c>
      <c r="L6">
        <v>118</v>
      </c>
      <c r="M6">
        <v>102</v>
      </c>
      <c r="N6">
        <v>0.98619000000000001</v>
      </c>
      <c r="O6">
        <v>0.85414999999999996</v>
      </c>
      <c r="P6">
        <v>0.46</v>
      </c>
      <c r="Q6">
        <v>102</v>
      </c>
      <c r="R6">
        <v>0.99</v>
      </c>
      <c r="S6">
        <v>118</v>
      </c>
      <c r="T6">
        <v>102</v>
      </c>
      <c r="U6">
        <v>0.72131000000000001</v>
      </c>
      <c r="V6">
        <v>0.8226</v>
      </c>
      <c r="W6">
        <v>2.21</v>
      </c>
      <c r="X6">
        <v>98</v>
      </c>
      <c r="Y6">
        <v>0.94899999999999995</v>
      </c>
      <c r="Z6">
        <v>118</v>
      </c>
      <c r="AA6">
        <v>102</v>
      </c>
    </row>
    <row r="7" spans="1:27" x14ac:dyDescent="0.2">
      <c r="A7" t="s">
        <v>34</v>
      </c>
      <c r="B7" t="s">
        <v>35</v>
      </c>
      <c r="C7" t="s">
        <v>31</v>
      </c>
      <c r="D7" t="s">
        <v>32</v>
      </c>
      <c r="E7">
        <v>1</v>
      </c>
      <c r="F7" t="s">
        <v>418</v>
      </c>
      <c r="G7">
        <v>0.47804999999999997</v>
      </c>
      <c r="H7">
        <v>0.53400000000000003</v>
      </c>
      <c r="I7">
        <v>3.65</v>
      </c>
      <c r="J7">
        <v>81</v>
      </c>
      <c r="K7">
        <v>0.45700000000000002</v>
      </c>
      <c r="L7">
        <v>118</v>
      </c>
      <c r="M7">
        <v>102</v>
      </c>
      <c r="N7">
        <v>0.97591000000000006</v>
      </c>
      <c r="O7">
        <v>0.84504999999999997</v>
      </c>
      <c r="P7">
        <v>0.53</v>
      </c>
      <c r="Q7">
        <v>101</v>
      </c>
      <c r="R7">
        <v>1</v>
      </c>
      <c r="S7">
        <v>118</v>
      </c>
      <c r="T7">
        <v>102</v>
      </c>
      <c r="U7">
        <v>0.67095000000000005</v>
      </c>
      <c r="V7">
        <v>0.75919000000000003</v>
      </c>
      <c r="W7">
        <v>2.74</v>
      </c>
      <c r="X7">
        <v>99</v>
      </c>
      <c r="Y7">
        <v>0.81799999999999995</v>
      </c>
      <c r="Z7">
        <v>118</v>
      </c>
      <c r="AA7">
        <v>102</v>
      </c>
    </row>
    <row r="8" spans="1:27" x14ac:dyDescent="0.2">
      <c r="A8" t="s">
        <v>36</v>
      </c>
      <c r="B8" t="s">
        <v>14</v>
      </c>
      <c r="C8" t="s">
        <v>37</v>
      </c>
      <c r="D8" t="s">
        <v>38</v>
      </c>
      <c r="E8">
        <v>1</v>
      </c>
      <c r="F8" t="s">
        <v>419</v>
      </c>
      <c r="G8">
        <v>0.45683000000000001</v>
      </c>
      <c r="H8">
        <v>0.45683000000000001</v>
      </c>
      <c r="I8">
        <v>3.88</v>
      </c>
      <c r="J8">
        <v>63</v>
      </c>
      <c r="K8">
        <v>0.69799999999999995</v>
      </c>
      <c r="L8">
        <v>80</v>
      </c>
      <c r="M8">
        <v>80</v>
      </c>
      <c r="N8">
        <v>0.79278999999999999</v>
      </c>
      <c r="O8">
        <v>0.79278999999999999</v>
      </c>
      <c r="P8">
        <v>2.12</v>
      </c>
      <c r="Q8">
        <v>77</v>
      </c>
      <c r="R8">
        <v>0.97399999999999998</v>
      </c>
      <c r="S8">
        <v>80</v>
      </c>
      <c r="T8">
        <v>80</v>
      </c>
      <c r="U8">
        <v>0.73282000000000003</v>
      </c>
      <c r="V8">
        <v>0.73282000000000003</v>
      </c>
      <c r="W8">
        <v>2.12</v>
      </c>
      <c r="X8">
        <v>73</v>
      </c>
      <c r="Y8">
        <v>1</v>
      </c>
      <c r="Z8">
        <v>80</v>
      </c>
      <c r="AA8">
        <v>80</v>
      </c>
    </row>
    <row r="9" spans="1:27" x14ac:dyDescent="0.2">
      <c r="A9" t="s">
        <v>40</v>
      </c>
      <c r="B9" t="s">
        <v>14</v>
      </c>
      <c r="C9" t="s">
        <v>41</v>
      </c>
      <c r="D9" t="s">
        <v>32</v>
      </c>
      <c r="E9">
        <v>1</v>
      </c>
      <c r="F9" t="s">
        <v>420</v>
      </c>
      <c r="G9">
        <v>0.46666999999999997</v>
      </c>
      <c r="H9">
        <v>0.46666999999999997</v>
      </c>
      <c r="I9">
        <v>3.63</v>
      </c>
      <c r="J9">
        <v>60</v>
      </c>
      <c r="K9">
        <v>0.48299999999999998</v>
      </c>
      <c r="L9">
        <v>64</v>
      </c>
      <c r="M9">
        <v>64</v>
      </c>
      <c r="N9">
        <v>0.89905999999999997</v>
      </c>
      <c r="O9">
        <v>0.89905999999999997</v>
      </c>
      <c r="P9">
        <v>1.06</v>
      </c>
      <c r="Q9">
        <v>64</v>
      </c>
      <c r="R9">
        <v>1</v>
      </c>
      <c r="S9">
        <v>64</v>
      </c>
      <c r="T9">
        <v>64</v>
      </c>
      <c r="U9">
        <v>0.89834999999999998</v>
      </c>
      <c r="V9">
        <v>0.89834999999999998</v>
      </c>
      <c r="W9">
        <v>1.07</v>
      </c>
      <c r="X9">
        <v>64</v>
      </c>
      <c r="Y9">
        <v>1</v>
      </c>
      <c r="Z9">
        <v>64</v>
      </c>
      <c r="AA9">
        <v>64</v>
      </c>
    </row>
    <row r="10" spans="1:27" x14ac:dyDescent="0.2">
      <c r="A10" t="s">
        <v>43</v>
      </c>
      <c r="B10" t="s">
        <v>14</v>
      </c>
      <c r="C10" t="s">
        <v>44</v>
      </c>
      <c r="D10" t="s">
        <v>32</v>
      </c>
      <c r="E10">
        <v>1</v>
      </c>
      <c r="F10" t="s">
        <v>420</v>
      </c>
      <c r="G10">
        <v>0.48946000000000001</v>
      </c>
      <c r="H10">
        <v>0.48946000000000001</v>
      </c>
      <c r="I10">
        <v>2.6</v>
      </c>
      <c r="J10">
        <v>45</v>
      </c>
      <c r="K10">
        <v>0.88900000000000001</v>
      </c>
      <c r="L10">
        <v>65</v>
      </c>
      <c r="M10">
        <v>65</v>
      </c>
      <c r="N10">
        <v>0.89207999999999998</v>
      </c>
      <c r="O10">
        <v>0.89207999999999998</v>
      </c>
      <c r="P10">
        <v>1.22</v>
      </c>
      <c r="Q10">
        <v>65</v>
      </c>
      <c r="R10">
        <v>1</v>
      </c>
      <c r="S10">
        <v>65</v>
      </c>
      <c r="T10">
        <v>65</v>
      </c>
      <c r="U10">
        <v>0.90705999999999998</v>
      </c>
      <c r="V10">
        <v>0.90705999999999998</v>
      </c>
      <c r="W10">
        <v>1.2</v>
      </c>
      <c r="X10">
        <v>65</v>
      </c>
      <c r="Y10">
        <v>1</v>
      </c>
      <c r="Z10">
        <v>65</v>
      </c>
      <c r="AA10">
        <v>65</v>
      </c>
    </row>
    <row r="11" spans="1:27" x14ac:dyDescent="0.2">
      <c r="A11" t="s">
        <v>45</v>
      </c>
      <c r="B11" t="s">
        <v>14</v>
      </c>
      <c r="C11" t="s">
        <v>46</v>
      </c>
      <c r="D11" t="s">
        <v>47</v>
      </c>
      <c r="E11">
        <v>1</v>
      </c>
      <c r="F11" t="s">
        <v>421</v>
      </c>
      <c r="G11">
        <v>0.24790999999999999</v>
      </c>
      <c r="H11">
        <v>0.28294999999999998</v>
      </c>
      <c r="I11">
        <v>4.07</v>
      </c>
      <c r="J11">
        <v>43</v>
      </c>
      <c r="K11">
        <v>0.30199999999999999</v>
      </c>
      <c r="L11">
        <v>98</v>
      </c>
      <c r="M11">
        <v>79</v>
      </c>
      <c r="N11">
        <v>0.72843000000000002</v>
      </c>
      <c r="O11">
        <v>0.59770999999999996</v>
      </c>
      <c r="P11">
        <v>1.99</v>
      </c>
      <c r="Q11">
        <v>66</v>
      </c>
      <c r="R11">
        <v>0.92400000000000004</v>
      </c>
      <c r="S11">
        <v>98</v>
      </c>
      <c r="T11">
        <v>79</v>
      </c>
      <c r="U11">
        <v>0.58679000000000003</v>
      </c>
      <c r="V11">
        <v>0.71862000000000004</v>
      </c>
      <c r="W11">
        <v>2.2599999999999998</v>
      </c>
      <c r="X11">
        <v>64</v>
      </c>
      <c r="Y11">
        <v>0.93799999999999994</v>
      </c>
      <c r="Z11">
        <v>98</v>
      </c>
      <c r="AA11">
        <v>79</v>
      </c>
    </row>
    <row r="12" spans="1:27" x14ac:dyDescent="0.2">
      <c r="A12" t="s">
        <v>49</v>
      </c>
      <c r="B12" t="s">
        <v>14</v>
      </c>
      <c r="C12" t="s">
        <v>50</v>
      </c>
      <c r="D12" t="s">
        <v>38</v>
      </c>
      <c r="E12">
        <v>1</v>
      </c>
      <c r="F12" t="s">
        <v>421</v>
      </c>
      <c r="G12">
        <v>0.47844999999999999</v>
      </c>
      <c r="H12">
        <v>0.55854999999999999</v>
      </c>
      <c r="I12">
        <v>2.74</v>
      </c>
      <c r="J12">
        <v>62</v>
      </c>
      <c r="K12">
        <v>0.71</v>
      </c>
      <c r="L12">
        <v>97</v>
      </c>
      <c r="M12">
        <v>79</v>
      </c>
      <c r="N12">
        <v>0.77010000000000001</v>
      </c>
      <c r="O12">
        <v>0.63634000000000002</v>
      </c>
      <c r="P12">
        <v>1.23</v>
      </c>
      <c r="Q12">
        <v>66</v>
      </c>
      <c r="R12">
        <v>1</v>
      </c>
      <c r="S12">
        <v>97</v>
      </c>
      <c r="T12">
        <v>79</v>
      </c>
      <c r="U12">
        <v>0.63327999999999995</v>
      </c>
      <c r="V12">
        <v>0.76549</v>
      </c>
      <c r="W12">
        <v>1.28</v>
      </c>
      <c r="X12">
        <v>66</v>
      </c>
      <c r="Y12">
        <v>1</v>
      </c>
      <c r="Z12">
        <v>97</v>
      </c>
      <c r="AA12">
        <v>79</v>
      </c>
    </row>
    <row r="13" spans="1:27" x14ac:dyDescent="0.2">
      <c r="A13" t="s">
        <v>51</v>
      </c>
      <c r="B13" t="s">
        <v>14</v>
      </c>
      <c r="C13" t="s">
        <v>50</v>
      </c>
      <c r="D13" t="s">
        <v>38</v>
      </c>
      <c r="E13">
        <v>1</v>
      </c>
      <c r="F13" t="s">
        <v>422</v>
      </c>
      <c r="G13">
        <v>0.77305999999999997</v>
      </c>
      <c r="H13">
        <v>0.77305999999999997</v>
      </c>
      <c r="I13">
        <v>1.78</v>
      </c>
      <c r="J13">
        <v>65</v>
      </c>
      <c r="K13">
        <v>0.93799999999999994</v>
      </c>
      <c r="L13">
        <v>66</v>
      </c>
      <c r="M13">
        <v>66</v>
      </c>
      <c r="N13">
        <v>0.78280000000000005</v>
      </c>
      <c r="O13">
        <v>0.78280000000000005</v>
      </c>
      <c r="P13">
        <v>1.89</v>
      </c>
      <c r="Q13">
        <v>65</v>
      </c>
      <c r="R13">
        <v>0.98499999999999999</v>
      </c>
      <c r="S13">
        <v>66</v>
      </c>
      <c r="T13">
        <v>66</v>
      </c>
      <c r="U13">
        <v>0.78051999999999999</v>
      </c>
      <c r="V13">
        <v>0.78051999999999999</v>
      </c>
      <c r="W13">
        <v>1.93</v>
      </c>
      <c r="X13">
        <v>66</v>
      </c>
      <c r="Y13">
        <v>1</v>
      </c>
      <c r="Z13">
        <v>66</v>
      </c>
      <c r="AA13">
        <v>66</v>
      </c>
    </row>
    <row r="14" spans="1:27" x14ac:dyDescent="0.2">
      <c r="A14" t="s">
        <v>53</v>
      </c>
      <c r="B14" t="s">
        <v>14</v>
      </c>
      <c r="C14" t="s">
        <v>54</v>
      </c>
      <c r="D14" t="s">
        <v>55</v>
      </c>
      <c r="E14">
        <v>1</v>
      </c>
      <c r="F14" t="s">
        <v>423</v>
      </c>
      <c r="G14">
        <v>0.57696000000000003</v>
      </c>
      <c r="H14">
        <v>0.57696000000000003</v>
      </c>
      <c r="I14">
        <v>3.07</v>
      </c>
      <c r="J14">
        <v>81</v>
      </c>
      <c r="K14">
        <v>0.67900000000000005</v>
      </c>
      <c r="L14">
        <v>95</v>
      </c>
      <c r="M14">
        <v>95</v>
      </c>
      <c r="N14">
        <v>0.62495000000000001</v>
      </c>
      <c r="O14">
        <v>0.62495000000000001</v>
      </c>
      <c r="P14">
        <v>2.86</v>
      </c>
      <c r="Q14">
        <v>85</v>
      </c>
      <c r="R14">
        <v>0.8</v>
      </c>
      <c r="S14">
        <v>95</v>
      </c>
      <c r="T14">
        <v>95</v>
      </c>
      <c r="U14">
        <v>0.55052999999999996</v>
      </c>
      <c r="V14">
        <v>0.55052999999999996</v>
      </c>
      <c r="W14">
        <v>3.13</v>
      </c>
      <c r="X14">
        <v>78</v>
      </c>
      <c r="Y14">
        <v>0.71799999999999997</v>
      </c>
      <c r="Z14">
        <v>95</v>
      </c>
      <c r="AA14">
        <v>95</v>
      </c>
    </row>
    <row r="15" spans="1:27" x14ac:dyDescent="0.2">
      <c r="A15" t="s">
        <v>57</v>
      </c>
      <c r="B15" t="s">
        <v>14</v>
      </c>
      <c r="C15" t="s">
        <v>58</v>
      </c>
      <c r="D15" t="s">
        <v>59</v>
      </c>
      <c r="E15">
        <v>1</v>
      </c>
      <c r="F15" t="s">
        <v>424</v>
      </c>
      <c r="G15">
        <v>0.28986000000000001</v>
      </c>
      <c r="H15">
        <v>0.30972</v>
      </c>
      <c r="I15">
        <v>4.4000000000000004</v>
      </c>
      <c r="J15">
        <v>62</v>
      </c>
      <c r="K15">
        <v>0.30599999999999999</v>
      </c>
      <c r="L15">
        <v>127</v>
      </c>
      <c r="M15">
        <v>115</v>
      </c>
      <c r="N15">
        <v>0.97443000000000002</v>
      </c>
      <c r="O15">
        <v>0.88400000000000001</v>
      </c>
      <c r="P15">
        <v>0.85</v>
      </c>
      <c r="Q15">
        <v>115</v>
      </c>
      <c r="R15">
        <v>1</v>
      </c>
      <c r="S15">
        <v>127</v>
      </c>
      <c r="T15">
        <v>115</v>
      </c>
      <c r="U15">
        <v>0.88449</v>
      </c>
      <c r="V15">
        <v>0.97502999999999995</v>
      </c>
      <c r="W15">
        <v>0.85</v>
      </c>
      <c r="X15">
        <v>115</v>
      </c>
      <c r="Y15">
        <v>1</v>
      </c>
      <c r="Z15">
        <v>127</v>
      </c>
      <c r="AA15">
        <v>115</v>
      </c>
    </row>
    <row r="16" spans="1:27" x14ac:dyDescent="0.2">
      <c r="A16" t="s">
        <v>61</v>
      </c>
      <c r="B16" t="s">
        <v>14</v>
      </c>
      <c r="C16" t="s">
        <v>62</v>
      </c>
      <c r="D16" t="s">
        <v>59</v>
      </c>
      <c r="E16">
        <v>1</v>
      </c>
      <c r="F16" t="s">
        <v>425</v>
      </c>
      <c r="G16">
        <v>0.22026000000000001</v>
      </c>
      <c r="H16">
        <v>0.26679000000000003</v>
      </c>
      <c r="I16">
        <v>4.7</v>
      </c>
      <c r="J16">
        <v>54</v>
      </c>
      <c r="K16">
        <v>3.6999999999999998E-2</v>
      </c>
      <c r="L16">
        <v>150</v>
      </c>
      <c r="M16">
        <v>113</v>
      </c>
      <c r="N16">
        <v>0.98836000000000002</v>
      </c>
      <c r="O16">
        <v>0.74663000000000002</v>
      </c>
      <c r="P16">
        <v>0.46</v>
      </c>
      <c r="Q16">
        <v>113</v>
      </c>
      <c r="R16">
        <v>1</v>
      </c>
      <c r="S16">
        <v>150</v>
      </c>
      <c r="T16">
        <v>113</v>
      </c>
      <c r="U16">
        <v>0.74585000000000001</v>
      </c>
      <c r="V16">
        <v>0.98731999999999998</v>
      </c>
      <c r="W16">
        <v>0.51</v>
      </c>
      <c r="X16">
        <v>113</v>
      </c>
      <c r="Y16">
        <v>1</v>
      </c>
      <c r="Z16">
        <v>150</v>
      </c>
      <c r="AA16">
        <v>113</v>
      </c>
    </row>
    <row r="17" spans="1:27" x14ac:dyDescent="0.2">
      <c r="A17" t="s">
        <v>64</v>
      </c>
      <c r="B17" t="s">
        <v>26</v>
      </c>
      <c r="C17" t="s">
        <v>65</v>
      </c>
      <c r="D17" t="s">
        <v>16</v>
      </c>
      <c r="E17">
        <v>1</v>
      </c>
      <c r="F17" t="s">
        <v>426</v>
      </c>
      <c r="G17">
        <v>0.83818000000000004</v>
      </c>
      <c r="H17">
        <v>0.92225000000000001</v>
      </c>
      <c r="I17">
        <v>1.89</v>
      </c>
      <c r="J17">
        <v>244</v>
      </c>
      <c r="K17">
        <v>0.92600000000000005</v>
      </c>
      <c r="L17">
        <v>271</v>
      </c>
      <c r="M17">
        <v>245</v>
      </c>
      <c r="N17">
        <v>0.96877000000000002</v>
      </c>
      <c r="O17">
        <v>0.87783</v>
      </c>
      <c r="P17">
        <v>1.18</v>
      </c>
      <c r="Q17">
        <v>245</v>
      </c>
      <c r="R17">
        <v>1</v>
      </c>
      <c r="S17">
        <v>271</v>
      </c>
      <c r="T17">
        <v>245</v>
      </c>
      <c r="U17">
        <v>0.87897999999999998</v>
      </c>
      <c r="V17">
        <v>0.97011000000000003</v>
      </c>
      <c r="W17">
        <v>1.1599999999999999</v>
      </c>
      <c r="X17">
        <v>245</v>
      </c>
      <c r="Y17">
        <v>1</v>
      </c>
      <c r="Z17">
        <v>271</v>
      </c>
      <c r="AA17">
        <v>245</v>
      </c>
    </row>
    <row r="18" spans="1:27" x14ac:dyDescent="0.2">
      <c r="A18" t="s">
        <v>67</v>
      </c>
      <c r="B18" t="s">
        <v>68</v>
      </c>
      <c r="C18" t="s">
        <v>69</v>
      </c>
      <c r="D18" t="s">
        <v>16</v>
      </c>
      <c r="E18">
        <v>0</v>
      </c>
      <c r="F18" t="s">
        <v>426</v>
      </c>
    </row>
    <row r="19" spans="1:27" x14ac:dyDescent="0.2">
      <c r="A19" t="s">
        <v>70</v>
      </c>
      <c r="B19" t="s">
        <v>14</v>
      </c>
      <c r="C19" t="s">
        <v>71</v>
      </c>
      <c r="D19" t="s">
        <v>72</v>
      </c>
      <c r="E19">
        <v>1</v>
      </c>
      <c r="F19" t="s">
        <v>427</v>
      </c>
      <c r="G19">
        <v>0.66752999999999996</v>
      </c>
      <c r="H19">
        <v>0.78974</v>
      </c>
      <c r="I19">
        <v>3.29</v>
      </c>
      <c r="J19">
        <v>183</v>
      </c>
      <c r="K19">
        <v>0.85799999999999998</v>
      </c>
      <c r="L19">
        <v>228</v>
      </c>
      <c r="M19">
        <v>189</v>
      </c>
      <c r="N19">
        <v>0.98050999999999999</v>
      </c>
      <c r="O19">
        <v>0.81535000000000002</v>
      </c>
      <c r="P19">
        <v>0.73</v>
      </c>
      <c r="Q19">
        <v>189</v>
      </c>
      <c r="R19">
        <v>1</v>
      </c>
      <c r="S19">
        <v>228</v>
      </c>
      <c r="T19">
        <v>189</v>
      </c>
      <c r="U19">
        <v>0.66715999999999998</v>
      </c>
      <c r="V19">
        <v>0.79151000000000005</v>
      </c>
      <c r="W19">
        <v>3.5</v>
      </c>
      <c r="X19">
        <v>183</v>
      </c>
      <c r="Y19">
        <v>0.84199999999999997</v>
      </c>
      <c r="Z19">
        <v>228</v>
      </c>
      <c r="AA19">
        <v>189</v>
      </c>
    </row>
    <row r="20" spans="1:27" x14ac:dyDescent="0.2">
      <c r="A20" t="s">
        <v>74</v>
      </c>
      <c r="B20" t="s">
        <v>14</v>
      </c>
      <c r="C20" t="s">
        <v>71</v>
      </c>
      <c r="D20" t="s">
        <v>72</v>
      </c>
      <c r="E20">
        <v>1</v>
      </c>
      <c r="F20" t="s">
        <v>428</v>
      </c>
      <c r="G20">
        <v>0.66747999999999996</v>
      </c>
      <c r="H20">
        <v>0.78885000000000005</v>
      </c>
      <c r="I20">
        <v>3.31</v>
      </c>
      <c r="J20">
        <v>184</v>
      </c>
      <c r="K20">
        <v>0.83699999999999997</v>
      </c>
      <c r="L20">
        <v>228</v>
      </c>
      <c r="M20">
        <v>189</v>
      </c>
      <c r="N20">
        <v>0.98724999999999996</v>
      </c>
      <c r="O20">
        <v>0.82006999999999997</v>
      </c>
      <c r="P20">
        <v>0.59</v>
      </c>
      <c r="Q20">
        <v>189</v>
      </c>
      <c r="R20">
        <v>1</v>
      </c>
      <c r="S20">
        <v>228</v>
      </c>
      <c r="T20">
        <v>189</v>
      </c>
      <c r="U20">
        <v>0.66796</v>
      </c>
      <c r="V20">
        <v>0.79215999999999998</v>
      </c>
      <c r="W20">
        <v>3.49</v>
      </c>
      <c r="X20">
        <v>183</v>
      </c>
      <c r="Y20">
        <v>0.85199999999999998</v>
      </c>
      <c r="Z20">
        <v>228</v>
      </c>
      <c r="AA20">
        <v>189</v>
      </c>
    </row>
    <row r="21" spans="1:27" x14ac:dyDescent="0.2">
      <c r="A21" t="s">
        <v>76</v>
      </c>
      <c r="B21" t="s">
        <v>77</v>
      </c>
      <c r="C21" t="s">
        <v>78</v>
      </c>
      <c r="D21" t="s">
        <v>79</v>
      </c>
      <c r="E21">
        <v>1</v>
      </c>
      <c r="F21" t="s">
        <v>429</v>
      </c>
      <c r="G21">
        <v>0.41221000000000002</v>
      </c>
      <c r="H21">
        <v>0.43071999999999999</v>
      </c>
      <c r="I21">
        <v>4.3099999999999996</v>
      </c>
      <c r="J21">
        <v>130</v>
      </c>
      <c r="K21">
        <v>0.623</v>
      </c>
      <c r="L21">
        <v>238</v>
      </c>
      <c r="M21">
        <v>226</v>
      </c>
      <c r="U21">
        <v>0.85585</v>
      </c>
      <c r="V21">
        <v>0.89851999999999999</v>
      </c>
      <c r="W21">
        <v>2.0499999999999998</v>
      </c>
      <c r="X21">
        <v>221</v>
      </c>
      <c r="Y21">
        <v>0.98599999999999999</v>
      </c>
      <c r="Z21">
        <v>238</v>
      </c>
      <c r="AA21">
        <v>226</v>
      </c>
    </row>
    <row r="22" spans="1:27" x14ac:dyDescent="0.2">
      <c r="A22" t="s">
        <v>81</v>
      </c>
      <c r="B22" t="s">
        <v>82</v>
      </c>
      <c r="C22" t="s">
        <v>83</v>
      </c>
      <c r="D22" t="s">
        <v>79</v>
      </c>
      <c r="E22">
        <v>1</v>
      </c>
      <c r="F22" t="s">
        <v>429</v>
      </c>
      <c r="G22">
        <v>0.42662</v>
      </c>
      <c r="H22">
        <v>0.46160000000000001</v>
      </c>
      <c r="I22">
        <v>4.62</v>
      </c>
      <c r="J22">
        <v>141</v>
      </c>
      <c r="K22">
        <v>0.51100000000000001</v>
      </c>
      <c r="L22">
        <v>244</v>
      </c>
      <c r="M22">
        <v>222</v>
      </c>
      <c r="N22">
        <v>0.92051000000000005</v>
      </c>
      <c r="O22">
        <v>0.84252000000000005</v>
      </c>
      <c r="P22">
        <v>1.83</v>
      </c>
      <c r="Q22">
        <v>222</v>
      </c>
      <c r="R22">
        <v>0.995</v>
      </c>
      <c r="S22">
        <v>244</v>
      </c>
      <c r="T22">
        <v>222</v>
      </c>
      <c r="U22">
        <v>0.81535999999999997</v>
      </c>
      <c r="V22">
        <v>0.89056000000000002</v>
      </c>
      <c r="W22">
        <v>1.83</v>
      </c>
      <c r="X22">
        <v>216</v>
      </c>
      <c r="Y22">
        <v>0.90300000000000002</v>
      </c>
      <c r="Z22">
        <v>244</v>
      </c>
      <c r="AA22">
        <v>222</v>
      </c>
    </row>
    <row r="23" spans="1:27" x14ac:dyDescent="0.2">
      <c r="A23" t="s">
        <v>84</v>
      </c>
      <c r="B23" t="s">
        <v>77</v>
      </c>
      <c r="C23" t="s">
        <v>85</v>
      </c>
      <c r="D23" t="s">
        <v>86</v>
      </c>
      <c r="E23">
        <v>1</v>
      </c>
      <c r="F23" t="s">
        <v>430</v>
      </c>
      <c r="G23">
        <v>0.67706999999999995</v>
      </c>
      <c r="H23">
        <v>0.68149999999999999</v>
      </c>
      <c r="I23">
        <v>3.2</v>
      </c>
      <c r="J23">
        <v>113</v>
      </c>
      <c r="K23">
        <v>0.77</v>
      </c>
      <c r="L23">
        <v>131</v>
      </c>
      <c r="M23">
        <v>130</v>
      </c>
      <c r="N23">
        <v>0.95804999999999996</v>
      </c>
      <c r="O23">
        <v>0.95079000000000002</v>
      </c>
      <c r="P23">
        <v>0.69</v>
      </c>
      <c r="Q23">
        <v>126</v>
      </c>
      <c r="R23">
        <v>1</v>
      </c>
      <c r="S23">
        <v>131</v>
      </c>
      <c r="T23">
        <v>130</v>
      </c>
      <c r="U23">
        <v>0.72652000000000005</v>
      </c>
      <c r="V23">
        <v>0.73146999999999995</v>
      </c>
      <c r="W23">
        <v>2.57</v>
      </c>
      <c r="X23">
        <v>113</v>
      </c>
      <c r="Y23">
        <v>0.73499999999999999</v>
      </c>
      <c r="Z23">
        <v>131</v>
      </c>
      <c r="AA23">
        <v>130</v>
      </c>
    </row>
    <row r="24" spans="1:27" x14ac:dyDescent="0.2">
      <c r="A24" t="s">
        <v>88</v>
      </c>
      <c r="B24" t="s">
        <v>77</v>
      </c>
      <c r="C24" t="s">
        <v>85</v>
      </c>
      <c r="D24" t="s">
        <v>86</v>
      </c>
      <c r="E24">
        <v>1</v>
      </c>
      <c r="F24" t="s">
        <v>430</v>
      </c>
      <c r="G24">
        <v>0.67791000000000001</v>
      </c>
      <c r="H24">
        <v>0.68235000000000001</v>
      </c>
      <c r="I24">
        <v>3.2</v>
      </c>
      <c r="J24">
        <v>113</v>
      </c>
      <c r="K24">
        <v>0.77</v>
      </c>
      <c r="L24">
        <v>131</v>
      </c>
      <c r="M24">
        <v>130</v>
      </c>
      <c r="N24">
        <v>0.95867000000000002</v>
      </c>
      <c r="O24">
        <v>0.95140000000000002</v>
      </c>
      <c r="P24">
        <v>0.68</v>
      </c>
      <c r="Q24">
        <v>126</v>
      </c>
      <c r="R24">
        <v>1</v>
      </c>
      <c r="S24">
        <v>131</v>
      </c>
      <c r="T24">
        <v>130</v>
      </c>
      <c r="U24">
        <v>0.72033999999999998</v>
      </c>
      <c r="V24">
        <v>0.72526000000000002</v>
      </c>
      <c r="W24">
        <v>2.38</v>
      </c>
      <c r="X24">
        <v>111</v>
      </c>
      <c r="Y24">
        <v>0.79300000000000004</v>
      </c>
      <c r="Z24">
        <v>131</v>
      </c>
      <c r="AA24">
        <v>130</v>
      </c>
    </row>
    <row r="25" spans="1:27" x14ac:dyDescent="0.2">
      <c r="A25" t="s">
        <v>89</v>
      </c>
      <c r="B25" t="s">
        <v>14</v>
      </c>
      <c r="C25" t="s">
        <v>90</v>
      </c>
      <c r="D25" t="s">
        <v>91</v>
      </c>
      <c r="E25">
        <v>1</v>
      </c>
      <c r="F25" t="s">
        <v>427</v>
      </c>
      <c r="G25">
        <v>0.79468000000000005</v>
      </c>
      <c r="H25">
        <v>0.82255</v>
      </c>
      <c r="I25">
        <v>2.1800000000000002</v>
      </c>
      <c r="J25">
        <v>74</v>
      </c>
      <c r="K25">
        <v>1</v>
      </c>
      <c r="L25">
        <v>80</v>
      </c>
      <c r="M25">
        <v>77</v>
      </c>
      <c r="N25">
        <v>0.73053999999999997</v>
      </c>
      <c r="O25">
        <v>0.70767000000000002</v>
      </c>
      <c r="P25">
        <v>2.68</v>
      </c>
      <c r="Q25">
        <v>72</v>
      </c>
      <c r="R25">
        <v>0.86099999999999999</v>
      </c>
      <c r="S25">
        <v>80</v>
      </c>
      <c r="T25">
        <v>77</v>
      </c>
      <c r="U25">
        <v>0.74134999999999995</v>
      </c>
      <c r="V25">
        <v>0.76651999999999998</v>
      </c>
      <c r="W25">
        <v>2.25</v>
      </c>
      <c r="X25">
        <v>71</v>
      </c>
      <c r="Y25">
        <v>0.77500000000000002</v>
      </c>
      <c r="Z25">
        <v>80</v>
      </c>
      <c r="AA25">
        <v>77</v>
      </c>
    </row>
    <row r="26" spans="1:27" x14ac:dyDescent="0.2">
      <c r="A26" t="s">
        <v>92</v>
      </c>
      <c r="B26" t="s">
        <v>19</v>
      </c>
      <c r="C26" t="s">
        <v>93</v>
      </c>
      <c r="D26" t="s">
        <v>91</v>
      </c>
      <c r="E26">
        <v>1</v>
      </c>
      <c r="F26" t="s">
        <v>427</v>
      </c>
      <c r="G26">
        <v>0.86446999999999996</v>
      </c>
      <c r="H26">
        <v>0.94089999999999996</v>
      </c>
      <c r="I26">
        <v>0.83</v>
      </c>
      <c r="J26">
        <v>74</v>
      </c>
      <c r="K26">
        <v>1</v>
      </c>
      <c r="L26">
        <v>81</v>
      </c>
      <c r="M26">
        <v>74</v>
      </c>
      <c r="N26">
        <v>0.52569999999999995</v>
      </c>
      <c r="O26">
        <v>0.49752000000000002</v>
      </c>
      <c r="P26">
        <v>3.37</v>
      </c>
      <c r="Q26">
        <v>67</v>
      </c>
      <c r="R26">
        <v>0.373</v>
      </c>
      <c r="S26">
        <v>81</v>
      </c>
      <c r="T26">
        <v>74</v>
      </c>
      <c r="U26">
        <v>0.28895999999999999</v>
      </c>
      <c r="V26">
        <v>0.30277999999999999</v>
      </c>
      <c r="W26">
        <v>4.2300000000000004</v>
      </c>
      <c r="X26">
        <v>46</v>
      </c>
      <c r="Y26">
        <v>0.13</v>
      </c>
      <c r="Z26">
        <v>81</v>
      </c>
      <c r="AA26">
        <v>74</v>
      </c>
    </row>
    <row r="27" spans="1:27" x14ac:dyDescent="0.2">
      <c r="A27" t="s">
        <v>94</v>
      </c>
      <c r="B27" t="s">
        <v>26</v>
      </c>
      <c r="C27" t="s">
        <v>95</v>
      </c>
      <c r="D27" t="s">
        <v>96</v>
      </c>
      <c r="E27">
        <v>1</v>
      </c>
      <c r="F27" t="s">
        <v>431</v>
      </c>
      <c r="G27">
        <v>0.59402999999999995</v>
      </c>
      <c r="H27">
        <v>0.95198000000000005</v>
      </c>
      <c r="I27">
        <v>0.73</v>
      </c>
      <c r="J27">
        <v>74</v>
      </c>
      <c r="K27">
        <v>0.97299999999999998</v>
      </c>
      <c r="L27">
        <v>121</v>
      </c>
      <c r="M27">
        <v>74</v>
      </c>
      <c r="N27">
        <v>0.97214</v>
      </c>
      <c r="O27">
        <v>0.60172000000000003</v>
      </c>
      <c r="P27">
        <v>0.53</v>
      </c>
      <c r="Q27">
        <v>74</v>
      </c>
      <c r="R27">
        <v>1</v>
      </c>
      <c r="S27">
        <v>121</v>
      </c>
      <c r="T27">
        <v>74</v>
      </c>
      <c r="U27">
        <v>0.59741999999999995</v>
      </c>
      <c r="V27">
        <v>0.96004999999999996</v>
      </c>
      <c r="W27">
        <v>0.64</v>
      </c>
      <c r="X27">
        <v>74</v>
      </c>
      <c r="Y27">
        <v>1</v>
      </c>
      <c r="Z27">
        <v>121</v>
      </c>
      <c r="AA27">
        <v>74</v>
      </c>
    </row>
    <row r="28" spans="1:27" x14ac:dyDescent="0.2">
      <c r="A28" t="s">
        <v>98</v>
      </c>
      <c r="B28" t="s">
        <v>26</v>
      </c>
      <c r="C28" t="s">
        <v>99</v>
      </c>
      <c r="D28" t="s">
        <v>100</v>
      </c>
      <c r="E28">
        <v>0</v>
      </c>
      <c r="F28" t="s">
        <v>432</v>
      </c>
    </row>
    <row r="29" spans="1:27" x14ac:dyDescent="0.2">
      <c r="A29" t="s">
        <v>102</v>
      </c>
      <c r="B29" t="s">
        <v>68</v>
      </c>
      <c r="C29" t="s">
        <v>103</v>
      </c>
      <c r="D29" t="s">
        <v>104</v>
      </c>
      <c r="E29">
        <v>1</v>
      </c>
      <c r="F29" t="s">
        <v>432</v>
      </c>
      <c r="G29">
        <v>0.73897999999999997</v>
      </c>
      <c r="H29">
        <v>0.81918000000000002</v>
      </c>
      <c r="I29">
        <v>1.89</v>
      </c>
      <c r="J29">
        <v>78</v>
      </c>
      <c r="K29">
        <v>0.84599999999999997</v>
      </c>
      <c r="L29">
        <v>93</v>
      </c>
      <c r="M29">
        <v>83</v>
      </c>
      <c r="N29">
        <v>0.96606000000000003</v>
      </c>
      <c r="O29">
        <v>0.86482000000000003</v>
      </c>
      <c r="P29">
        <v>0.86</v>
      </c>
      <c r="Q29">
        <v>83</v>
      </c>
      <c r="R29">
        <v>1</v>
      </c>
      <c r="S29">
        <v>93</v>
      </c>
      <c r="T29">
        <v>83</v>
      </c>
      <c r="U29">
        <v>0.86953000000000003</v>
      </c>
      <c r="V29">
        <v>0.97223000000000004</v>
      </c>
      <c r="W29">
        <v>0.89</v>
      </c>
      <c r="X29">
        <v>83</v>
      </c>
      <c r="Y29">
        <v>1</v>
      </c>
      <c r="Z29">
        <v>93</v>
      </c>
      <c r="AA29">
        <v>83</v>
      </c>
    </row>
    <row r="30" spans="1:27" x14ac:dyDescent="0.2">
      <c r="A30" t="s">
        <v>105</v>
      </c>
      <c r="B30" t="s">
        <v>26</v>
      </c>
      <c r="C30" t="s">
        <v>106</v>
      </c>
      <c r="D30" t="s">
        <v>38</v>
      </c>
      <c r="E30">
        <v>1</v>
      </c>
      <c r="F30" t="s">
        <v>433</v>
      </c>
      <c r="G30">
        <v>0.43451000000000001</v>
      </c>
      <c r="H30">
        <v>0.97865999999999997</v>
      </c>
      <c r="I30">
        <v>0.39</v>
      </c>
      <c r="J30">
        <v>60</v>
      </c>
      <c r="K30">
        <v>1</v>
      </c>
      <c r="L30">
        <v>137</v>
      </c>
      <c r="M30">
        <v>60</v>
      </c>
      <c r="N30">
        <v>0.99019000000000001</v>
      </c>
      <c r="O30">
        <v>0.96157000000000004</v>
      </c>
      <c r="P30">
        <v>0.43</v>
      </c>
      <c r="Q30">
        <v>133</v>
      </c>
      <c r="R30">
        <v>1</v>
      </c>
      <c r="S30">
        <v>137</v>
      </c>
      <c r="T30">
        <v>133</v>
      </c>
      <c r="U30">
        <v>0.433</v>
      </c>
      <c r="V30">
        <v>0.97407999999999995</v>
      </c>
      <c r="W30">
        <v>0.5</v>
      </c>
      <c r="X30">
        <v>60</v>
      </c>
      <c r="Y30">
        <v>1</v>
      </c>
      <c r="Z30">
        <v>137</v>
      </c>
      <c r="AA30">
        <v>60</v>
      </c>
    </row>
    <row r="31" spans="1:27" x14ac:dyDescent="0.2">
      <c r="A31" t="s">
        <v>108</v>
      </c>
      <c r="B31" t="s">
        <v>26</v>
      </c>
      <c r="C31" t="s">
        <v>109</v>
      </c>
      <c r="D31" t="s">
        <v>104</v>
      </c>
      <c r="E31">
        <v>1</v>
      </c>
      <c r="F31" t="s">
        <v>434</v>
      </c>
      <c r="G31">
        <v>0.91459000000000001</v>
      </c>
      <c r="H31">
        <v>0.97292000000000001</v>
      </c>
      <c r="I31">
        <v>1.47</v>
      </c>
      <c r="J31">
        <v>568</v>
      </c>
      <c r="K31">
        <v>1</v>
      </c>
      <c r="L31">
        <v>605</v>
      </c>
      <c r="M31">
        <v>568</v>
      </c>
      <c r="N31">
        <v>0.99666999999999994</v>
      </c>
      <c r="O31">
        <v>0.93586999999999998</v>
      </c>
      <c r="P31">
        <v>0.49</v>
      </c>
      <c r="Q31">
        <v>568</v>
      </c>
      <c r="R31">
        <v>1</v>
      </c>
      <c r="S31">
        <v>605</v>
      </c>
      <c r="T31">
        <v>568</v>
      </c>
      <c r="U31">
        <v>0.93642999999999998</v>
      </c>
      <c r="V31">
        <v>0.99729000000000001</v>
      </c>
      <c r="W31">
        <v>0.44</v>
      </c>
      <c r="X31">
        <v>568</v>
      </c>
      <c r="Y31">
        <v>1</v>
      </c>
      <c r="Z31">
        <v>605</v>
      </c>
      <c r="AA31">
        <v>568</v>
      </c>
    </row>
    <row r="32" spans="1:27" x14ac:dyDescent="0.2">
      <c r="A32" t="s">
        <v>111</v>
      </c>
      <c r="B32" t="s">
        <v>14</v>
      </c>
      <c r="C32" t="s">
        <v>112</v>
      </c>
      <c r="D32" t="s">
        <v>38</v>
      </c>
      <c r="E32">
        <v>1</v>
      </c>
      <c r="F32" t="s">
        <v>435</v>
      </c>
      <c r="G32">
        <v>0.5675</v>
      </c>
      <c r="H32">
        <v>0.67896999999999996</v>
      </c>
      <c r="I32">
        <v>1.82</v>
      </c>
      <c r="J32">
        <v>64</v>
      </c>
      <c r="K32">
        <v>1</v>
      </c>
      <c r="L32">
        <v>97</v>
      </c>
      <c r="M32">
        <v>79</v>
      </c>
      <c r="N32">
        <v>0.75146000000000002</v>
      </c>
      <c r="O32">
        <v>0.62231000000000003</v>
      </c>
      <c r="P32">
        <v>1.5</v>
      </c>
      <c r="Q32">
        <v>66</v>
      </c>
      <c r="R32">
        <v>1</v>
      </c>
      <c r="S32">
        <v>97</v>
      </c>
      <c r="T32">
        <v>79</v>
      </c>
      <c r="U32">
        <v>0.61639999999999995</v>
      </c>
      <c r="V32">
        <v>0.74334999999999996</v>
      </c>
      <c r="W32">
        <v>1.58</v>
      </c>
      <c r="X32">
        <v>66</v>
      </c>
      <c r="Y32">
        <v>1</v>
      </c>
      <c r="Z32">
        <v>97</v>
      </c>
      <c r="AA32">
        <v>79</v>
      </c>
    </row>
    <row r="33" spans="1:27" x14ac:dyDescent="0.2">
      <c r="A33" t="s">
        <v>114</v>
      </c>
      <c r="B33" t="s">
        <v>14</v>
      </c>
      <c r="C33" t="s">
        <v>115</v>
      </c>
      <c r="D33" t="s">
        <v>116</v>
      </c>
      <c r="E33">
        <v>1</v>
      </c>
      <c r="F33" t="s">
        <v>436</v>
      </c>
      <c r="G33">
        <v>0.74897999999999998</v>
      </c>
      <c r="H33">
        <v>0.99043999999999999</v>
      </c>
      <c r="I33">
        <v>0.34</v>
      </c>
      <c r="J33">
        <v>89</v>
      </c>
      <c r="K33">
        <v>0.98899999999999999</v>
      </c>
      <c r="L33">
        <v>118</v>
      </c>
      <c r="M33">
        <v>89</v>
      </c>
      <c r="N33">
        <v>0.97114999999999996</v>
      </c>
      <c r="O33">
        <v>0.73811000000000004</v>
      </c>
      <c r="P33">
        <v>0.61</v>
      </c>
      <c r="Q33">
        <v>89</v>
      </c>
      <c r="R33">
        <v>0.98899999999999999</v>
      </c>
      <c r="S33">
        <v>118</v>
      </c>
      <c r="T33">
        <v>89</v>
      </c>
      <c r="U33">
        <v>0.74443999999999999</v>
      </c>
      <c r="V33">
        <v>0.98236999999999997</v>
      </c>
      <c r="W33">
        <v>0.47</v>
      </c>
      <c r="X33">
        <v>89</v>
      </c>
      <c r="Y33">
        <v>0.98899999999999999</v>
      </c>
      <c r="Z33">
        <v>118</v>
      </c>
      <c r="AA33">
        <v>89</v>
      </c>
    </row>
    <row r="34" spans="1:27" x14ac:dyDescent="0.2">
      <c r="A34" t="s">
        <v>118</v>
      </c>
      <c r="B34" t="s">
        <v>14</v>
      </c>
      <c r="C34" t="s">
        <v>119</v>
      </c>
      <c r="D34" t="s">
        <v>16</v>
      </c>
      <c r="E34">
        <v>1</v>
      </c>
      <c r="F34" t="s">
        <v>437</v>
      </c>
      <c r="G34">
        <v>0.84596000000000005</v>
      </c>
      <c r="H34">
        <v>0.87119000000000002</v>
      </c>
      <c r="I34">
        <v>2.02</v>
      </c>
      <c r="J34">
        <v>121</v>
      </c>
      <c r="K34">
        <v>1</v>
      </c>
      <c r="L34">
        <v>128</v>
      </c>
      <c r="M34">
        <v>124</v>
      </c>
      <c r="N34">
        <v>0.87892000000000003</v>
      </c>
      <c r="O34">
        <v>0.85360999999999998</v>
      </c>
      <c r="P34">
        <v>1.89</v>
      </c>
      <c r="Q34">
        <v>122</v>
      </c>
      <c r="R34">
        <v>0.96699999999999997</v>
      </c>
      <c r="S34">
        <v>128</v>
      </c>
      <c r="T34">
        <v>124</v>
      </c>
      <c r="U34">
        <v>0.89200000000000002</v>
      </c>
      <c r="V34">
        <v>0.91925000000000001</v>
      </c>
      <c r="W34">
        <v>1.33</v>
      </c>
      <c r="X34">
        <v>122</v>
      </c>
      <c r="Y34">
        <v>0.95099999999999996</v>
      </c>
      <c r="Z34">
        <v>128</v>
      </c>
      <c r="AA34">
        <v>124</v>
      </c>
    </row>
    <row r="35" spans="1:27" x14ac:dyDescent="0.2">
      <c r="A35" t="s">
        <v>121</v>
      </c>
      <c r="B35" t="s">
        <v>26</v>
      </c>
      <c r="C35" t="s">
        <v>122</v>
      </c>
      <c r="D35" t="s">
        <v>59</v>
      </c>
      <c r="E35">
        <v>1</v>
      </c>
      <c r="F35" t="s">
        <v>438</v>
      </c>
      <c r="G35">
        <v>0.20608000000000001</v>
      </c>
      <c r="H35">
        <v>0.22303999999999999</v>
      </c>
      <c r="I35">
        <v>4.7699999999999996</v>
      </c>
      <c r="J35">
        <v>40</v>
      </c>
      <c r="K35">
        <v>2.5000000000000001E-2</v>
      </c>
      <c r="L35">
        <v>91</v>
      </c>
      <c r="M35">
        <v>77</v>
      </c>
      <c r="N35">
        <v>0.46226</v>
      </c>
      <c r="O35">
        <v>0.40927000000000002</v>
      </c>
      <c r="P35">
        <v>3.43</v>
      </c>
      <c r="Q35">
        <v>55</v>
      </c>
      <c r="R35">
        <v>0.67300000000000004</v>
      </c>
      <c r="S35">
        <v>91</v>
      </c>
      <c r="T35">
        <v>77</v>
      </c>
      <c r="U35">
        <v>0.52373000000000003</v>
      </c>
      <c r="V35">
        <v>0.60348000000000002</v>
      </c>
      <c r="W35">
        <v>2.3199999999999998</v>
      </c>
      <c r="X35">
        <v>58</v>
      </c>
      <c r="Y35">
        <v>0.81</v>
      </c>
      <c r="Z35">
        <v>91</v>
      </c>
      <c r="AA35">
        <v>77</v>
      </c>
    </row>
    <row r="36" spans="1:27" x14ac:dyDescent="0.2">
      <c r="A36" t="s">
        <v>124</v>
      </c>
      <c r="B36" t="s">
        <v>14</v>
      </c>
      <c r="C36" t="s">
        <v>125</v>
      </c>
      <c r="D36" t="s">
        <v>126</v>
      </c>
      <c r="E36">
        <v>1</v>
      </c>
      <c r="F36" t="s">
        <v>439</v>
      </c>
      <c r="G36">
        <v>0.73416999999999999</v>
      </c>
      <c r="H36">
        <v>0.92569999999999997</v>
      </c>
      <c r="I36">
        <v>1.42</v>
      </c>
      <c r="J36">
        <v>119</v>
      </c>
      <c r="K36">
        <v>1</v>
      </c>
      <c r="L36">
        <v>155</v>
      </c>
      <c r="M36">
        <v>122</v>
      </c>
      <c r="N36">
        <v>0.96394999999999997</v>
      </c>
      <c r="O36">
        <v>0.76275000000000004</v>
      </c>
      <c r="P36">
        <v>0.79</v>
      </c>
      <c r="Q36">
        <v>121</v>
      </c>
      <c r="R36">
        <v>0.99199999999999999</v>
      </c>
      <c r="S36">
        <v>155</v>
      </c>
      <c r="T36">
        <v>122</v>
      </c>
      <c r="U36">
        <v>0.75895999999999997</v>
      </c>
      <c r="V36">
        <v>0.95792999999999995</v>
      </c>
      <c r="W36">
        <v>0.85</v>
      </c>
      <c r="X36">
        <v>121</v>
      </c>
      <c r="Y36">
        <v>0.99199999999999999</v>
      </c>
      <c r="Z36">
        <v>155</v>
      </c>
      <c r="AA36">
        <v>122</v>
      </c>
    </row>
    <row r="37" spans="1:27" x14ac:dyDescent="0.2">
      <c r="A37" t="s">
        <v>128</v>
      </c>
      <c r="B37" t="s">
        <v>77</v>
      </c>
      <c r="C37" t="s">
        <v>129</v>
      </c>
      <c r="D37" t="s">
        <v>38</v>
      </c>
      <c r="E37">
        <v>1</v>
      </c>
      <c r="F37" t="s">
        <v>440</v>
      </c>
      <c r="G37">
        <v>4.6870000000000002E-2</v>
      </c>
      <c r="H37">
        <v>0.99968000000000001</v>
      </c>
      <c r="I37">
        <v>0.01</v>
      </c>
      <c r="J37">
        <v>3</v>
      </c>
      <c r="K37">
        <v>0.33300000000000002</v>
      </c>
      <c r="L37">
        <v>64</v>
      </c>
      <c r="M37">
        <v>3</v>
      </c>
      <c r="N37">
        <v>0.91683999999999999</v>
      </c>
      <c r="O37">
        <v>0.80732000000000004</v>
      </c>
      <c r="P37">
        <v>0.74</v>
      </c>
      <c r="Q37">
        <v>54</v>
      </c>
      <c r="R37">
        <v>1</v>
      </c>
      <c r="S37">
        <v>64</v>
      </c>
      <c r="T37">
        <v>56</v>
      </c>
      <c r="U37">
        <v>4.6870000000000002E-2</v>
      </c>
      <c r="V37">
        <v>0.99973000000000001</v>
      </c>
      <c r="W37">
        <v>0.01</v>
      </c>
      <c r="X37">
        <v>3</v>
      </c>
      <c r="Y37">
        <v>0</v>
      </c>
      <c r="Z37">
        <v>64</v>
      </c>
      <c r="AA37">
        <v>3</v>
      </c>
    </row>
    <row r="38" spans="1:27" x14ac:dyDescent="0.2">
      <c r="A38" t="s">
        <v>131</v>
      </c>
      <c r="B38" t="s">
        <v>14</v>
      </c>
      <c r="C38" t="s">
        <v>132</v>
      </c>
      <c r="D38" t="s">
        <v>133</v>
      </c>
      <c r="E38">
        <v>0</v>
      </c>
      <c r="F38" t="s">
        <v>441</v>
      </c>
    </row>
    <row r="39" spans="1:27" x14ac:dyDescent="0.2">
      <c r="A39" t="s">
        <v>135</v>
      </c>
      <c r="B39" t="s">
        <v>136</v>
      </c>
      <c r="C39" t="s">
        <v>137</v>
      </c>
      <c r="D39" t="s">
        <v>47</v>
      </c>
      <c r="E39">
        <v>1</v>
      </c>
      <c r="F39" t="s">
        <v>441</v>
      </c>
      <c r="G39">
        <v>0.23227</v>
      </c>
      <c r="H39">
        <v>0.26288</v>
      </c>
      <c r="I39">
        <v>3.95</v>
      </c>
      <c r="J39">
        <v>32</v>
      </c>
      <c r="K39">
        <v>3.1E-2</v>
      </c>
      <c r="L39">
        <v>77</v>
      </c>
      <c r="M39">
        <v>62</v>
      </c>
      <c r="N39">
        <v>0.92156000000000005</v>
      </c>
      <c r="O39">
        <v>0.74863999999999997</v>
      </c>
      <c r="P39">
        <v>1.39</v>
      </c>
      <c r="Q39">
        <v>61</v>
      </c>
      <c r="R39">
        <v>0.96699999999999997</v>
      </c>
      <c r="S39">
        <v>77</v>
      </c>
      <c r="T39">
        <v>62</v>
      </c>
      <c r="U39">
        <v>0.72594999999999998</v>
      </c>
      <c r="V39">
        <v>0.89015</v>
      </c>
      <c r="W39">
        <v>1.42</v>
      </c>
      <c r="X39">
        <v>60</v>
      </c>
      <c r="Y39">
        <v>1</v>
      </c>
      <c r="Z39">
        <v>77</v>
      </c>
      <c r="AA39">
        <v>62</v>
      </c>
    </row>
    <row r="40" spans="1:27" x14ac:dyDescent="0.2">
      <c r="A40" t="s">
        <v>138</v>
      </c>
      <c r="B40" t="s">
        <v>77</v>
      </c>
      <c r="C40" t="s">
        <v>139</v>
      </c>
      <c r="D40" t="s">
        <v>140</v>
      </c>
      <c r="E40">
        <v>1</v>
      </c>
      <c r="F40" t="s">
        <v>442</v>
      </c>
      <c r="G40">
        <v>0.96206999999999998</v>
      </c>
      <c r="H40">
        <v>0.96206999999999998</v>
      </c>
      <c r="I40">
        <v>0.91</v>
      </c>
      <c r="J40">
        <v>79</v>
      </c>
      <c r="K40">
        <v>1</v>
      </c>
      <c r="L40">
        <v>79</v>
      </c>
      <c r="M40">
        <v>79</v>
      </c>
      <c r="N40">
        <v>0.93700000000000006</v>
      </c>
      <c r="O40">
        <v>0.93700000000000006</v>
      </c>
      <c r="P40">
        <v>1.48</v>
      </c>
      <c r="Q40">
        <v>79</v>
      </c>
      <c r="R40">
        <v>1</v>
      </c>
      <c r="S40">
        <v>79</v>
      </c>
      <c r="T40">
        <v>79</v>
      </c>
      <c r="U40">
        <v>0.96094999999999997</v>
      </c>
      <c r="V40">
        <v>0.96094999999999997</v>
      </c>
      <c r="W40">
        <v>0.81</v>
      </c>
      <c r="X40">
        <v>79</v>
      </c>
      <c r="Y40">
        <v>1</v>
      </c>
      <c r="Z40">
        <v>79</v>
      </c>
      <c r="AA40">
        <v>79</v>
      </c>
    </row>
    <row r="41" spans="1:27" x14ac:dyDescent="0.2">
      <c r="A41" t="s">
        <v>142</v>
      </c>
      <c r="B41" t="s">
        <v>14</v>
      </c>
      <c r="C41" t="s">
        <v>143</v>
      </c>
      <c r="D41" t="s">
        <v>144</v>
      </c>
      <c r="E41">
        <v>1</v>
      </c>
      <c r="F41" t="s">
        <v>443</v>
      </c>
      <c r="G41">
        <v>0.88753000000000004</v>
      </c>
      <c r="H41">
        <v>0.89615999999999996</v>
      </c>
      <c r="I41">
        <v>1.63</v>
      </c>
      <c r="J41">
        <v>95</v>
      </c>
      <c r="K41">
        <v>0.94699999999999995</v>
      </c>
      <c r="L41">
        <v>98</v>
      </c>
      <c r="M41">
        <v>97</v>
      </c>
      <c r="N41">
        <v>0.89490999999999998</v>
      </c>
      <c r="O41">
        <v>0.88629999999999998</v>
      </c>
      <c r="P41">
        <v>1.65</v>
      </c>
      <c r="Q41">
        <v>95</v>
      </c>
      <c r="R41">
        <v>0.94699999999999995</v>
      </c>
      <c r="S41">
        <v>98</v>
      </c>
      <c r="T41">
        <v>97</v>
      </c>
      <c r="U41">
        <v>0.88222999999999996</v>
      </c>
      <c r="V41">
        <v>0.89075000000000004</v>
      </c>
      <c r="W41">
        <v>1.42</v>
      </c>
      <c r="X41">
        <v>94</v>
      </c>
      <c r="Y41">
        <v>0.95699999999999996</v>
      </c>
      <c r="Z41">
        <v>98</v>
      </c>
      <c r="AA41">
        <v>97</v>
      </c>
    </row>
    <row r="42" spans="1:27" x14ac:dyDescent="0.2">
      <c r="A42" t="s">
        <v>146</v>
      </c>
      <c r="B42" t="s">
        <v>147</v>
      </c>
      <c r="C42" t="s">
        <v>148</v>
      </c>
      <c r="D42" t="s">
        <v>133</v>
      </c>
      <c r="E42">
        <v>0</v>
      </c>
      <c r="F42" t="s">
        <v>444</v>
      </c>
    </row>
    <row r="43" spans="1:27" x14ac:dyDescent="0.2">
      <c r="A43" t="s">
        <v>150</v>
      </c>
      <c r="B43" t="s">
        <v>151</v>
      </c>
      <c r="C43" t="s">
        <v>152</v>
      </c>
      <c r="D43" t="s">
        <v>38</v>
      </c>
      <c r="E43">
        <v>1</v>
      </c>
      <c r="F43" t="s">
        <v>444</v>
      </c>
      <c r="G43">
        <v>0.74760000000000004</v>
      </c>
      <c r="H43">
        <v>0.82077999999999995</v>
      </c>
      <c r="I43">
        <v>1.84</v>
      </c>
      <c r="J43">
        <v>78</v>
      </c>
      <c r="K43">
        <v>0.84599999999999997</v>
      </c>
      <c r="L43">
        <v>93</v>
      </c>
      <c r="M43">
        <v>84</v>
      </c>
      <c r="N43">
        <v>0.96275999999999995</v>
      </c>
      <c r="O43">
        <v>0.87107000000000001</v>
      </c>
      <c r="P43">
        <v>0.83</v>
      </c>
      <c r="Q43">
        <v>83</v>
      </c>
      <c r="R43">
        <v>1</v>
      </c>
      <c r="S43">
        <v>93</v>
      </c>
      <c r="T43">
        <v>84</v>
      </c>
      <c r="U43">
        <v>0.87212999999999996</v>
      </c>
      <c r="V43">
        <v>0.96416999999999997</v>
      </c>
      <c r="W43">
        <v>0.87</v>
      </c>
      <c r="X43">
        <v>83</v>
      </c>
      <c r="Y43">
        <v>1</v>
      </c>
      <c r="Z43">
        <v>93</v>
      </c>
      <c r="AA43">
        <v>84</v>
      </c>
    </row>
    <row r="44" spans="1:27" x14ac:dyDescent="0.2">
      <c r="A44" t="s">
        <v>153</v>
      </c>
      <c r="B44" t="s">
        <v>154</v>
      </c>
      <c r="C44" t="s">
        <v>152</v>
      </c>
      <c r="D44" t="s">
        <v>38</v>
      </c>
      <c r="E44">
        <v>1</v>
      </c>
      <c r="F44" t="s">
        <v>444</v>
      </c>
      <c r="G44">
        <v>0.74424000000000001</v>
      </c>
      <c r="H44">
        <v>0.74424000000000001</v>
      </c>
      <c r="I44">
        <v>1.83</v>
      </c>
      <c r="J44">
        <v>78</v>
      </c>
      <c r="K44">
        <v>0.84599999999999997</v>
      </c>
      <c r="L44">
        <v>93</v>
      </c>
      <c r="M44">
        <v>93</v>
      </c>
      <c r="N44">
        <v>0.87253000000000003</v>
      </c>
      <c r="O44">
        <v>0.87253000000000003</v>
      </c>
      <c r="P44">
        <v>1.1499999999999999</v>
      </c>
      <c r="Q44">
        <v>84</v>
      </c>
      <c r="R44">
        <v>1</v>
      </c>
      <c r="S44">
        <v>93</v>
      </c>
      <c r="T44">
        <v>93</v>
      </c>
      <c r="U44">
        <v>0.89327999999999996</v>
      </c>
      <c r="V44">
        <v>0.89327999999999996</v>
      </c>
      <c r="W44">
        <v>1.29</v>
      </c>
      <c r="X44">
        <v>88</v>
      </c>
      <c r="Y44">
        <v>1</v>
      </c>
      <c r="Z44">
        <v>93</v>
      </c>
      <c r="AA44">
        <v>93</v>
      </c>
    </row>
    <row r="45" spans="1:27" x14ac:dyDescent="0.2">
      <c r="A45" t="s">
        <v>155</v>
      </c>
      <c r="B45" t="s">
        <v>156</v>
      </c>
      <c r="C45" t="s">
        <v>148</v>
      </c>
      <c r="D45" t="s">
        <v>133</v>
      </c>
      <c r="E45">
        <v>0</v>
      </c>
      <c r="F45" t="s">
        <v>444</v>
      </c>
    </row>
    <row r="46" spans="1:27" x14ac:dyDescent="0.2">
      <c r="A46" t="s">
        <v>157</v>
      </c>
      <c r="B46" t="s">
        <v>14</v>
      </c>
      <c r="C46" t="s">
        <v>148</v>
      </c>
      <c r="D46" t="s">
        <v>133</v>
      </c>
      <c r="E46">
        <v>0</v>
      </c>
      <c r="F46" t="s">
        <v>444</v>
      </c>
    </row>
    <row r="47" spans="1:27" x14ac:dyDescent="0.2">
      <c r="A47" t="s">
        <v>158</v>
      </c>
      <c r="B47" t="s">
        <v>19</v>
      </c>
      <c r="C47" t="s">
        <v>152</v>
      </c>
      <c r="D47" t="s">
        <v>38</v>
      </c>
      <c r="E47">
        <v>1</v>
      </c>
      <c r="F47" t="s">
        <v>444</v>
      </c>
      <c r="G47">
        <v>0.75183</v>
      </c>
      <c r="H47">
        <v>0.85394999999999999</v>
      </c>
      <c r="I47">
        <v>1.52</v>
      </c>
      <c r="J47">
        <v>77</v>
      </c>
      <c r="K47">
        <v>0.85699999999999998</v>
      </c>
      <c r="L47">
        <v>93</v>
      </c>
      <c r="M47">
        <v>81</v>
      </c>
      <c r="N47">
        <v>0.99168999999999996</v>
      </c>
      <c r="O47">
        <v>0.86482999999999999</v>
      </c>
      <c r="P47">
        <v>0.3</v>
      </c>
      <c r="Q47">
        <v>81</v>
      </c>
      <c r="R47">
        <v>1</v>
      </c>
      <c r="S47">
        <v>93</v>
      </c>
      <c r="T47">
        <v>81</v>
      </c>
      <c r="U47">
        <v>0.86092000000000002</v>
      </c>
      <c r="V47">
        <v>0.98640000000000005</v>
      </c>
      <c r="W47">
        <v>0.38</v>
      </c>
      <c r="X47">
        <v>81</v>
      </c>
      <c r="Y47">
        <v>1</v>
      </c>
      <c r="Z47">
        <v>93</v>
      </c>
      <c r="AA47">
        <v>81</v>
      </c>
    </row>
    <row r="48" spans="1:27" x14ac:dyDescent="0.2">
      <c r="A48" t="s">
        <v>159</v>
      </c>
      <c r="B48" t="s">
        <v>26</v>
      </c>
      <c r="C48" t="s">
        <v>160</v>
      </c>
      <c r="D48" t="s">
        <v>133</v>
      </c>
      <c r="E48">
        <v>0</v>
      </c>
      <c r="F48" t="s">
        <v>445</v>
      </c>
    </row>
    <row r="49" spans="1:27" x14ac:dyDescent="0.2">
      <c r="A49" t="s">
        <v>162</v>
      </c>
      <c r="B49" t="s">
        <v>68</v>
      </c>
      <c r="C49" t="s">
        <v>152</v>
      </c>
      <c r="D49" t="s">
        <v>38</v>
      </c>
      <c r="E49">
        <v>1</v>
      </c>
      <c r="F49" t="s">
        <v>445</v>
      </c>
      <c r="G49">
        <v>0.73706000000000005</v>
      </c>
      <c r="H49">
        <v>0.81766000000000005</v>
      </c>
      <c r="I49">
        <v>1.7</v>
      </c>
      <c r="J49">
        <v>77</v>
      </c>
      <c r="K49">
        <v>0.85699999999999998</v>
      </c>
      <c r="L49">
        <v>93</v>
      </c>
      <c r="M49">
        <v>83</v>
      </c>
      <c r="N49">
        <v>0.96592</v>
      </c>
      <c r="O49">
        <v>0.86502000000000001</v>
      </c>
      <c r="P49">
        <v>0.79</v>
      </c>
      <c r="Q49">
        <v>83</v>
      </c>
      <c r="R49">
        <v>1</v>
      </c>
      <c r="S49">
        <v>93</v>
      </c>
      <c r="T49">
        <v>83</v>
      </c>
      <c r="U49">
        <v>0.87017</v>
      </c>
      <c r="V49">
        <v>0.97262000000000004</v>
      </c>
      <c r="W49">
        <v>0.77</v>
      </c>
      <c r="X49">
        <v>83</v>
      </c>
      <c r="Y49">
        <v>1</v>
      </c>
      <c r="Z49">
        <v>93</v>
      </c>
      <c r="AA49">
        <v>83</v>
      </c>
    </row>
    <row r="50" spans="1:27" x14ac:dyDescent="0.2">
      <c r="A50" t="s">
        <v>163</v>
      </c>
      <c r="B50" t="s">
        <v>164</v>
      </c>
      <c r="C50" t="s">
        <v>152</v>
      </c>
      <c r="D50" t="s">
        <v>38</v>
      </c>
      <c r="E50">
        <v>1</v>
      </c>
      <c r="F50" t="s">
        <v>445</v>
      </c>
      <c r="G50">
        <v>0.73170000000000002</v>
      </c>
      <c r="H50">
        <v>0.81908000000000003</v>
      </c>
      <c r="I50">
        <v>1.95</v>
      </c>
      <c r="J50">
        <v>78</v>
      </c>
      <c r="K50">
        <v>0.84599999999999997</v>
      </c>
      <c r="L50">
        <v>93</v>
      </c>
      <c r="M50">
        <v>82</v>
      </c>
      <c r="N50">
        <v>0.98528000000000004</v>
      </c>
      <c r="O50">
        <v>0.87056</v>
      </c>
      <c r="P50">
        <v>0.4</v>
      </c>
      <c r="Q50">
        <v>82</v>
      </c>
      <c r="R50">
        <v>1</v>
      </c>
      <c r="S50">
        <v>93</v>
      </c>
      <c r="T50">
        <v>82</v>
      </c>
      <c r="U50">
        <v>0.87407000000000001</v>
      </c>
      <c r="V50">
        <v>0.99000999999999995</v>
      </c>
      <c r="W50">
        <v>0.34</v>
      </c>
      <c r="X50">
        <v>82</v>
      </c>
      <c r="Y50">
        <v>1</v>
      </c>
      <c r="Z50">
        <v>93</v>
      </c>
      <c r="AA50">
        <v>82</v>
      </c>
    </row>
    <row r="51" spans="1:27" x14ac:dyDescent="0.2">
      <c r="A51" t="s">
        <v>165</v>
      </c>
      <c r="B51" t="s">
        <v>166</v>
      </c>
      <c r="C51" t="s">
        <v>160</v>
      </c>
      <c r="D51" t="s">
        <v>167</v>
      </c>
      <c r="E51">
        <v>0</v>
      </c>
      <c r="F51" t="s">
        <v>445</v>
      </c>
    </row>
    <row r="52" spans="1:27" x14ac:dyDescent="0.2">
      <c r="A52" t="s">
        <v>168</v>
      </c>
      <c r="B52" t="s">
        <v>14</v>
      </c>
      <c r="C52" t="s">
        <v>169</v>
      </c>
      <c r="D52" t="s">
        <v>170</v>
      </c>
      <c r="E52">
        <v>1</v>
      </c>
      <c r="F52" t="s">
        <v>446</v>
      </c>
      <c r="G52">
        <v>0.3659</v>
      </c>
      <c r="H52">
        <v>0.3659</v>
      </c>
      <c r="I52">
        <v>2.58</v>
      </c>
      <c r="J52">
        <v>34</v>
      </c>
      <c r="K52">
        <v>0.91200000000000003</v>
      </c>
      <c r="L52">
        <v>75</v>
      </c>
      <c r="M52">
        <v>75</v>
      </c>
      <c r="N52">
        <v>0.42210999999999999</v>
      </c>
      <c r="O52">
        <v>0.42210999999999999</v>
      </c>
      <c r="P52">
        <v>2.56</v>
      </c>
      <c r="Q52">
        <v>41</v>
      </c>
      <c r="R52">
        <v>0.90200000000000002</v>
      </c>
      <c r="S52">
        <v>75</v>
      </c>
      <c r="T52">
        <v>75</v>
      </c>
      <c r="U52">
        <v>0.39676</v>
      </c>
      <c r="V52">
        <v>0.39676</v>
      </c>
      <c r="W52">
        <v>2.42</v>
      </c>
      <c r="X52">
        <v>38</v>
      </c>
      <c r="Y52">
        <v>0.84199999999999997</v>
      </c>
      <c r="Z52">
        <v>75</v>
      </c>
      <c r="AA52">
        <v>75</v>
      </c>
    </row>
    <row r="53" spans="1:27" x14ac:dyDescent="0.2">
      <c r="A53" t="s">
        <v>172</v>
      </c>
      <c r="B53" t="s">
        <v>77</v>
      </c>
      <c r="C53" t="s">
        <v>173</v>
      </c>
      <c r="D53" t="s">
        <v>174</v>
      </c>
      <c r="E53">
        <v>1</v>
      </c>
      <c r="F53" t="s">
        <v>447</v>
      </c>
      <c r="G53">
        <v>0.73097000000000001</v>
      </c>
      <c r="H53">
        <v>0.73097000000000001</v>
      </c>
      <c r="I53">
        <v>2.0699999999999998</v>
      </c>
      <c r="J53">
        <v>67</v>
      </c>
      <c r="K53">
        <v>0.91</v>
      </c>
      <c r="L53">
        <v>79</v>
      </c>
      <c r="M53">
        <v>79</v>
      </c>
      <c r="N53">
        <v>0.88407999999999998</v>
      </c>
      <c r="O53">
        <v>0.88407999999999998</v>
      </c>
      <c r="P53">
        <v>1.81</v>
      </c>
      <c r="Q53">
        <v>76</v>
      </c>
      <c r="R53">
        <v>0.94699999999999995</v>
      </c>
      <c r="S53">
        <v>79</v>
      </c>
      <c r="T53">
        <v>79</v>
      </c>
      <c r="U53">
        <v>0.91003999999999996</v>
      </c>
      <c r="V53">
        <v>0.91003999999999996</v>
      </c>
      <c r="W53">
        <v>1.32</v>
      </c>
      <c r="X53">
        <v>76</v>
      </c>
      <c r="Y53">
        <v>1</v>
      </c>
      <c r="Z53">
        <v>79</v>
      </c>
      <c r="AA53">
        <v>79</v>
      </c>
    </row>
    <row r="54" spans="1:27" x14ac:dyDescent="0.2">
      <c r="A54" t="s">
        <v>176</v>
      </c>
      <c r="B54" t="s">
        <v>14</v>
      </c>
      <c r="C54" t="s">
        <v>160</v>
      </c>
      <c r="D54" t="s">
        <v>133</v>
      </c>
      <c r="E54">
        <v>0</v>
      </c>
      <c r="F54" t="s">
        <v>448</v>
      </c>
    </row>
    <row r="55" spans="1:27" x14ac:dyDescent="0.2">
      <c r="A55" t="s">
        <v>178</v>
      </c>
      <c r="B55" t="s">
        <v>19</v>
      </c>
      <c r="C55" t="s">
        <v>50</v>
      </c>
      <c r="D55" t="s">
        <v>38</v>
      </c>
      <c r="E55">
        <v>1</v>
      </c>
      <c r="F55" t="s">
        <v>448</v>
      </c>
      <c r="G55">
        <v>0.82730000000000004</v>
      </c>
      <c r="H55">
        <v>0.82730000000000004</v>
      </c>
      <c r="I55">
        <v>2.11</v>
      </c>
      <c r="J55">
        <v>66</v>
      </c>
      <c r="K55">
        <v>1</v>
      </c>
      <c r="L55">
        <v>68</v>
      </c>
      <c r="M55">
        <v>68</v>
      </c>
      <c r="N55">
        <v>0.95564000000000004</v>
      </c>
      <c r="O55">
        <v>0.95564000000000004</v>
      </c>
      <c r="P55">
        <v>0.66</v>
      </c>
      <c r="Q55">
        <v>68</v>
      </c>
      <c r="R55">
        <v>1</v>
      </c>
      <c r="S55">
        <v>68</v>
      </c>
      <c r="T55">
        <v>68</v>
      </c>
      <c r="U55">
        <v>0.97333000000000003</v>
      </c>
      <c r="V55">
        <v>0.97333000000000003</v>
      </c>
      <c r="W55">
        <v>0.51</v>
      </c>
      <c r="X55">
        <v>68</v>
      </c>
      <c r="Y55">
        <v>1</v>
      </c>
      <c r="Z55">
        <v>68</v>
      </c>
      <c r="AA55">
        <v>68</v>
      </c>
    </row>
    <row r="56" spans="1:27" x14ac:dyDescent="0.2">
      <c r="A56" t="s">
        <v>179</v>
      </c>
      <c r="B56" t="s">
        <v>26</v>
      </c>
      <c r="C56" t="s">
        <v>46</v>
      </c>
      <c r="D56" t="s">
        <v>180</v>
      </c>
      <c r="E56">
        <v>1</v>
      </c>
      <c r="F56" t="s">
        <v>449</v>
      </c>
      <c r="G56">
        <v>0.36696000000000001</v>
      </c>
      <c r="H56">
        <v>0.37615999999999999</v>
      </c>
      <c r="I56">
        <v>3.61</v>
      </c>
      <c r="J56">
        <v>49</v>
      </c>
      <c r="K56">
        <v>0.40799999999999997</v>
      </c>
      <c r="L56">
        <v>80</v>
      </c>
      <c r="M56">
        <v>77</v>
      </c>
      <c r="N56">
        <v>0.99121000000000004</v>
      </c>
      <c r="O56">
        <v>0.95443</v>
      </c>
      <c r="P56">
        <v>0.3</v>
      </c>
      <c r="Q56">
        <v>77</v>
      </c>
      <c r="R56">
        <v>1</v>
      </c>
      <c r="S56">
        <v>80</v>
      </c>
      <c r="T56">
        <v>77</v>
      </c>
      <c r="U56">
        <v>0.79676999999999998</v>
      </c>
      <c r="V56">
        <v>0.82508999999999999</v>
      </c>
      <c r="W56">
        <v>1.87</v>
      </c>
      <c r="X56">
        <v>73</v>
      </c>
      <c r="Y56">
        <v>0.98599999999999999</v>
      </c>
      <c r="Z56">
        <v>80</v>
      </c>
      <c r="AA56">
        <v>77</v>
      </c>
    </row>
    <row r="57" spans="1:27" x14ac:dyDescent="0.2">
      <c r="A57" t="s">
        <v>182</v>
      </c>
      <c r="B57" t="s">
        <v>183</v>
      </c>
      <c r="C57" t="s">
        <v>46</v>
      </c>
      <c r="D57" t="s">
        <v>184</v>
      </c>
      <c r="E57">
        <v>1</v>
      </c>
      <c r="F57" t="s">
        <v>450</v>
      </c>
      <c r="G57">
        <v>0.94376000000000004</v>
      </c>
      <c r="H57">
        <v>0.94376000000000004</v>
      </c>
      <c r="I57">
        <v>0.91</v>
      </c>
      <c r="J57">
        <v>67</v>
      </c>
      <c r="K57">
        <v>1</v>
      </c>
      <c r="L57">
        <v>68</v>
      </c>
      <c r="M57">
        <v>68</v>
      </c>
      <c r="N57">
        <v>0.96958</v>
      </c>
      <c r="O57">
        <v>0.95587999999999995</v>
      </c>
      <c r="P57">
        <v>0.52</v>
      </c>
      <c r="Q57">
        <v>67</v>
      </c>
      <c r="R57">
        <v>1</v>
      </c>
      <c r="S57">
        <v>68</v>
      </c>
      <c r="T57">
        <v>67</v>
      </c>
      <c r="U57">
        <v>0.97140000000000004</v>
      </c>
      <c r="V57">
        <v>0.97140000000000004</v>
      </c>
      <c r="W57">
        <v>0.56999999999999995</v>
      </c>
      <c r="X57">
        <v>68</v>
      </c>
      <c r="Y57">
        <v>1</v>
      </c>
      <c r="Z57">
        <v>68</v>
      </c>
      <c r="AA57">
        <v>68</v>
      </c>
    </row>
    <row r="58" spans="1:27" x14ac:dyDescent="0.2">
      <c r="A58" t="s">
        <v>186</v>
      </c>
      <c r="B58" t="s">
        <v>14</v>
      </c>
      <c r="C58" t="s">
        <v>169</v>
      </c>
      <c r="D58" t="s">
        <v>187</v>
      </c>
      <c r="E58">
        <v>1</v>
      </c>
      <c r="F58" t="s">
        <v>451</v>
      </c>
      <c r="G58">
        <v>0.50429999999999997</v>
      </c>
      <c r="H58">
        <v>0.56074000000000002</v>
      </c>
      <c r="I58">
        <v>3.93</v>
      </c>
      <c r="J58">
        <v>118</v>
      </c>
      <c r="K58">
        <v>0.66100000000000003</v>
      </c>
      <c r="L58">
        <v>157</v>
      </c>
      <c r="M58">
        <v>136</v>
      </c>
      <c r="N58">
        <v>0.75978000000000001</v>
      </c>
      <c r="O58">
        <v>0.67095000000000005</v>
      </c>
      <c r="P58">
        <v>3.34</v>
      </c>
      <c r="Q58">
        <v>132</v>
      </c>
      <c r="R58">
        <v>0.81799999999999995</v>
      </c>
      <c r="S58">
        <v>157</v>
      </c>
      <c r="T58">
        <v>136</v>
      </c>
      <c r="U58">
        <v>0.34658</v>
      </c>
      <c r="V58">
        <v>0.38238</v>
      </c>
      <c r="W58">
        <v>4.97</v>
      </c>
      <c r="X58">
        <v>90</v>
      </c>
      <c r="Y58">
        <v>0.57799999999999996</v>
      </c>
      <c r="Z58">
        <v>157</v>
      </c>
      <c r="AA58">
        <v>136</v>
      </c>
    </row>
    <row r="59" spans="1:27" x14ac:dyDescent="0.2">
      <c r="A59" t="s">
        <v>189</v>
      </c>
      <c r="B59" t="s">
        <v>14</v>
      </c>
      <c r="C59" t="s">
        <v>190</v>
      </c>
      <c r="D59" t="s">
        <v>191</v>
      </c>
      <c r="E59">
        <v>1</v>
      </c>
      <c r="F59" t="s">
        <v>452</v>
      </c>
      <c r="G59">
        <v>0.30736000000000002</v>
      </c>
      <c r="H59">
        <v>0.30736000000000002</v>
      </c>
      <c r="I59">
        <v>4.57</v>
      </c>
      <c r="J59">
        <v>75</v>
      </c>
      <c r="K59">
        <v>9.2999999999999999E-2</v>
      </c>
      <c r="L59">
        <v>158</v>
      </c>
      <c r="M59">
        <v>158</v>
      </c>
      <c r="N59">
        <v>0.90546000000000004</v>
      </c>
      <c r="O59">
        <v>0.90546000000000004</v>
      </c>
      <c r="P59">
        <v>1.82</v>
      </c>
      <c r="Q59">
        <v>157</v>
      </c>
      <c r="R59">
        <v>0.98099999999999998</v>
      </c>
      <c r="S59">
        <v>158</v>
      </c>
      <c r="T59">
        <v>158</v>
      </c>
      <c r="U59">
        <v>0.92610999999999999</v>
      </c>
      <c r="V59">
        <v>0.92610999999999999</v>
      </c>
      <c r="W59">
        <v>1.67</v>
      </c>
      <c r="X59">
        <v>157</v>
      </c>
      <c r="Y59">
        <v>0.95499999999999996</v>
      </c>
      <c r="Z59">
        <v>158</v>
      </c>
      <c r="AA59">
        <v>158</v>
      </c>
    </row>
    <row r="60" spans="1:27" x14ac:dyDescent="0.2">
      <c r="A60" t="s">
        <v>193</v>
      </c>
      <c r="B60" t="s">
        <v>14</v>
      </c>
      <c r="C60" t="s">
        <v>194</v>
      </c>
      <c r="D60" t="s">
        <v>140</v>
      </c>
      <c r="E60">
        <v>1</v>
      </c>
      <c r="F60" t="s">
        <v>453</v>
      </c>
      <c r="G60">
        <v>0.30260999999999999</v>
      </c>
      <c r="H60">
        <v>0.30260999999999999</v>
      </c>
      <c r="I60">
        <v>4.87</v>
      </c>
      <c r="J60">
        <v>75</v>
      </c>
      <c r="K60">
        <v>0.04</v>
      </c>
      <c r="L60">
        <v>143</v>
      </c>
      <c r="M60">
        <v>143</v>
      </c>
      <c r="N60">
        <v>0.86395</v>
      </c>
      <c r="O60">
        <v>0.86395</v>
      </c>
      <c r="P60">
        <v>2.1</v>
      </c>
      <c r="Q60">
        <v>142</v>
      </c>
      <c r="R60">
        <v>1</v>
      </c>
      <c r="S60">
        <v>143</v>
      </c>
      <c r="T60">
        <v>143</v>
      </c>
      <c r="U60">
        <v>0.92632999999999999</v>
      </c>
      <c r="V60">
        <v>0.92632999999999999</v>
      </c>
      <c r="W60">
        <v>1.76</v>
      </c>
      <c r="X60">
        <v>143</v>
      </c>
      <c r="Y60">
        <v>1</v>
      </c>
      <c r="Z60">
        <v>143</v>
      </c>
      <c r="AA60">
        <v>143</v>
      </c>
    </row>
    <row r="61" spans="1:27" x14ac:dyDescent="0.2">
      <c r="A61" t="s">
        <v>196</v>
      </c>
      <c r="B61" t="s">
        <v>197</v>
      </c>
      <c r="C61" t="s">
        <v>148</v>
      </c>
      <c r="D61" t="s">
        <v>133</v>
      </c>
      <c r="E61">
        <v>0</v>
      </c>
      <c r="F61" t="s">
        <v>454</v>
      </c>
    </row>
    <row r="62" spans="1:27" x14ac:dyDescent="0.2">
      <c r="A62" t="s">
        <v>199</v>
      </c>
      <c r="B62" t="s">
        <v>200</v>
      </c>
      <c r="C62" t="s">
        <v>152</v>
      </c>
      <c r="D62" t="s">
        <v>201</v>
      </c>
      <c r="E62">
        <v>1</v>
      </c>
      <c r="F62" t="s">
        <v>454</v>
      </c>
      <c r="G62">
        <v>0.38696999999999998</v>
      </c>
      <c r="H62">
        <v>0.42946000000000001</v>
      </c>
      <c r="I62">
        <v>3.7</v>
      </c>
      <c r="J62">
        <v>57</v>
      </c>
      <c r="K62">
        <v>0.70199999999999996</v>
      </c>
      <c r="L62">
        <v>93</v>
      </c>
      <c r="M62">
        <v>80</v>
      </c>
      <c r="N62">
        <v>0.98187000000000002</v>
      </c>
      <c r="O62">
        <v>0.84718000000000004</v>
      </c>
      <c r="P62">
        <v>0.44</v>
      </c>
      <c r="Q62">
        <v>80</v>
      </c>
      <c r="R62">
        <v>1</v>
      </c>
      <c r="S62">
        <v>93</v>
      </c>
      <c r="T62">
        <v>80</v>
      </c>
      <c r="U62">
        <v>0.85109000000000001</v>
      </c>
      <c r="V62">
        <v>0.98733000000000004</v>
      </c>
      <c r="W62">
        <v>0.37</v>
      </c>
      <c r="X62">
        <v>80</v>
      </c>
      <c r="Y62">
        <v>1</v>
      </c>
      <c r="Z62">
        <v>93</v>
      </c>
      <c r="AA62">
        <v>80</v>
      </c>
    </row>
    <row r="63" spans="1:27" x14ac:dyDescent="0.2">
      <c r="A63" t="s">
        <v>202</v>
      </c>
      <c r="B63" t="s">
        <v>14</v>
      </c>
      <c r="C63" t="s">
        <v>203</v>
      </c>
      <c r="D63" t="s">
        <v>204</v>
      </c>
      <c r="E63">
        <v>1</v>
      </c>
      <c r="F63" t="s">
        <v>455</v>
      </c>
      <c r="G63">
        <v>0.28098000000000001</v>
      </c>
      <c r="H63">
        <v>0.28249999999999997</v>
      </c>
      <c r="I63">
        <v>4.76</v>
      </c>
      <c r="J63">
        <v>61</v>
      </c>
      <c r="K63">
        <v>0.47499999999999998</v>
      </c>
      <c r="L63">
        <v>125</v>
      </c>
      <c r="M63">
        <v>124</v>
      </c>
      <c r="N63">
        <v>0.37217</v>
      </c>
      <c r="O63">
        <v>0.37010999999999999</v>
      </c>
      <c r="P63">
        <v>4.3</v>
      </c>
      <c r="Q63">
        <v>75</v>
      </c>
      <c r="R63">
        <v>0.08</v>
      </c>
      <c r="S63">
        <v>125</v>
      </c>
      <c r="T63">
        <v>124</v>
      </c>
      <c r="U63">
        <v>0.31352999999999998</v>
      </c>
      <c r="V63">
        <v>0.31541000000000002</v>
      </c>
      <c r="W63">
        <v>4.63</v>
      </c>
      <c r="X63">
        <v>63</v>
      </c>
      <c r="Y63">
        <v>0</v>
      </c>
      <c r="Z63">
        <v>125</v>
      </c>
      <c r="AA63">
        <v>124</v>
      </c>
    </row>
    <row r="64" spans="1:27" x14ac:dyDescent="0.2">
      <c r="A64" t="s">
        <v>206</v>
      </c>
      <c r="B64" t="s">
        <v>154</v>
      </c>
      <c r="C64" t="s">
        <v>207</v>
      </c>
      <c r="D64" t="s">
        <v>208</v>
      </c>
      <c r="E64">
        <v>0</v>
      </c>
      <c r="F64" t="s">
        <v>456</v>
      </c>
    </row>
    <row r="65" spans="1:27" x14ac:dyDescent="0.2">
      <c r="A65" t="s">
        <v>210</v>
      </c>
      <c r="B65" t="s">
        <v>136</v>
      </c>
      <c r="C65" t="s">
        <v>152</v>
      </c>
      <c r="D65" t="s">
        <v>38</v>
      </c>
      <c r="E65">
        <v>1</v>
      </c>
      <c r="F65" t="s">
        <v>456</v>
      </c>
      <c r="G65">
        <v>0.69665999999999995</v>
      </c>
      <c r="H65">
        <v>0.78996999999999995</v>
      </c>
      <c r="I65">
        <v>1.78</v>
      </c>
      <c r="J65">
        <v>77</v>
      </c>
      <c r="K65">
        <v>0.87</v>
      </c>
      <c r="L65">
        <v>94</v>
      </c>
      <c r="M65">
        <v>81</v>
      </c>
      <c r="N65">
        <v>0.98821000000000003</v>
      </c>
      <c r="O65">
        <v>0.85321000000000002</v>
      </c>
      <c r="P65">
        <v>0.35</v>
      </c>
      <c r="Q65">
        <v>81</v>
      </c>
      <c r="R65">
        <v>1</v>
      </c>
      <c r="S65">
        <v>94</v>
      </c>
      <c r="T65">
        <v>81</v>
      </c>
      <c r="U65">
        <v>0.85314999999999996</v>
      </c>
      <c r="V65">
        <v>0.98814000000000002</v>
      </c>
      <c r="W65">
        <v>0.36</v>
      </c>
      <c r="X65">
        <v>81</v>
      </c>
      <c r="Y65">
        <v>1</v>
      </c>
      <c r="Z65">
        <v>94</v>
      </c>
      <c r="AA65">
        <v>81</v>
      </c>
    </row>
    <row r="66" spans="1:27" x14ac:dyDescent="0.2">
      <c r="A66" t="s">
        <v>211</v>
      </c>
      <c r="B66" t="s">
        <v>14</v>
      </c>
      <c r="C66" t="s">
        <v>212</v>
      </c>
      <c r="D66" t="s">
        <v>213</v>
      </c>
      <c r="E66">
        <v>1</v>
      </c>
      <c r="F66" t="s">
        <v>457</v>
      </c>
      <c r="G66">
        <v>0.48496</v>
      </c>
      <c r="H66">
        <v>0.48887999999999998</v>
      </c>
      <c r="I66">
        <v>2.78</v>
      </c>
      <c r="J66">
        <v>45</v>
      </c>
      <c r="K66">
        <v>0.64400000000000002</v>
      </c>
      <c r="L66">
        <v>50</v>
      </c>
      <c r="M66">
        <v>49</v>
      </c>
      <c r="N66">
        <v>0.69479999999999997</v>
      </c>
      <c r="O66">
        <v>0.68618000000000001</v>
      </c>
      <c r="P66">
        <v>1.72</v>
      </c>
      <c r="Q66">
        <v>48</v>
      </c>
      <c r="R66">
        <v>0.95799999999999996</v>
      </c>
      <c r="S66">
        <v>50</v>
      </c>
      <c r="T66">
        <v>49</v>
      </c>
      <c r="U66">
        <v>0.72382999999999997</v>
      </c>
      <c r="V66">
        <v>0.73401000000000005</v>
      </c>
      <c r="W66">
        <v>1.97</v>
      </c>
      <c r="X66">
        <v>49</v>
      </c>
      <c r="Y66">
        <v>1</v>
      </c>
      <c r="Z66">
        <v>50</v>
      </c>
      <c r="AA66">
        <v>49</v>
      </c>
    </row>
    <row r="67" spans="1:27" x14ac:dyDescent="0.2">
      <c r="A67" t="s">
        <v>215</v>
      </c>
      <c r="B67" t="s">
        <v>14</v>
      </c>
      <c r="C67" t="s">
        <v>216</v>
      </c>
      <c r="D67" t="s">
        <v>217</v>
      </c>
      <c r="E67">
        <v>1</v>
      </c>
      <c r="F67" t="s">
        <v>458</v>
      </c>
      <c r="G67">
        <v>0.28622999999999998</v>
      </c>
      <c r="H67">
        <v>0.28788999999999998</v>
      </c>
      <c r="I67">
        <v>4.7300000000000004</v>
      </c>
      <c r="J67">
        <v>58</v>
      </c>
      <c r="K67">
        <v>5.1999999999999998E-2</v>
      </c>
      <c r="L67">
        <v>114</v>
      </c>
      <c r="M67">
        <v>113</v>
      </c>
      <c r="N67">
        <v>0.31834000000000001</v>
      </c>
      <c r="O67">
        <v>0.31646000000000002</v>
      </c>
      <c r="P67">
        <v>4.79</v>
      </c>
      <c r="Q67">
        <v>64</v>
      </c>
      <c r="R67">
        <v>0.42199999999999999</v>
      </c>
      <c r="S67">
        <v>114</v>
      </c>
      <c r="T67">
        <v>113</v>
      </c>
      <c r="U67">
        <v>0.29838999999999999</v>
      </c>
      <c r="V67">
        <v>0.29998999999999998</v>
      </c>
      <c r="W67">
        <v>4.9000000000000004</v>
      </c>
      <c r="X67">
        <v>66</v>
      </c>
      <c r="Y67">
        <v>0.60599999999999998</v>
      </c>
      <c r="Z67">
        <v>114</v>
      </c>
      <c r="AA67">
        <v>113</v>
      </c>
    </row>
    <row r="68" spans="1:27" x14ac:dyDescent="0.2">
      <c r="A68" t="s">
        <v>219</v>
      </c>
      <c r="B68" t="s">
        <v>14</v>
      </c>
      <c r="C68" t="s">
        <v>220</v>
      </c>
      <c r="D68" t="s">
        <v>221</v>
      </c>
      <c r="E68">
        <v>0</v>
      </c>
      <c r="F68" t="s">
        <v>459</v>
      </c>
    </row>
    <row r="69" spans="1:27" x14ac:dyDescent="0.2">
      <c r="A69" t="s">
        <v>223</v>
      </c>
      <c r="B69" t="s">
        <v>19</v>
      </c>
      <c r="C69" t="s">
        <v>224</v>
      </c>
      <c r="D69" t="s">
        <v>225</v>
      </c>
      <c r="E69">
        <v>1</v>
      </c>
      <c r="F69" t="s">
        <v>459</v>
      </c>
      <c r="G69">
        <v>0.35893999999999998</v>
      </c>
      <c r="H69">
        <v>0.36326000000000003</v>
      </c>
      <c r="I69">
        <v>4.16</v>
      </c>
      <c r="J69">
        <v>62</v>
      </c>
      <c r="K69">
        <v>6.5000000000000002E-2</v>
      </c>
      <c r="L69">
        <v>93</v>
      </c>
      <c r="M69">
        <v>91</v>
      </c>
      <c r="N69">
        <v>0.90851999999999999</v>
      </c>
      <c r="O69">
        <v>0.89009000000000005</v>
      </c>
      <c r="P69">
        <v>1.08</v>
      </c>
      <c r="Q69">
        <v>88</v>
      </c>
      <c r="R69">
        <v>0.92</v>
      </c>
      <c r="S69">
        <v>93</v>
      </c>
      <c r="T69">
        <v>91</v>
      </c>
      <c r="U69">
        <v>0.95067000000000002</v>
      </c>
      <c r="V69">
        <v>0.97087000000000001</v>
      </c>
      <c r="W69">
        <v>0.62</v>
      </c>
      <c r="X69">
        <v>91</v>
      </c>
      <c r="Y69">
        <v>0.98899999999999999</v>
      </c>
      <c r="Z69">
        <v>93</v>
      </c>
      <c r="AA69">
        <v>91</v>
      </c>
    </row>
    <row r="70" spans="1:27" x14ac:dyDescent="0.2">
      <c r="A70" t="s">
        <v>226</v>
      </c>
      <c r="B70" t="s">
        <v>82</v>
      </c>
      <c r="C70" t="s">
        <v>227</v>
      </c>
      <c r="D70" t="s">
        <v>221</v>
      </c>
      <c r="E70">
        <v>0</v>
      </c>
      <c r="F70" t="s">
        <v>460</v>
      </c>
    </row>
    <row r="71" spans="1:27" x14ac:dyDescent="0.2">
      <c r="A71" t="s">
        <v>229</v>
      </c>
      <c r="B71" t="s">
        <v>230</v>
      </c>
      <c r="C71" t="s">
        <v>231</v>
      </c>
      <c r="D71" t="s">
        <v>232</v>
      </c>
      <c r="E71">
        <v>1</v>
      </c>
      <c r="F71" t="s">
        <v>460</v>
      </c>
      <c r="G71">
        <v>0.30623</v>
      </c>
      <c r="H71">
        <v>0.31320999999999999</v>
      </c>
      <c r="I71">
        <v>4.5999999999999996</v>
      </c>
      <c r="J71">
        <v>58</v>
      </c>
      <c r="K71">
        <v>5.1999999999999998E-2</v>
      </c>
      <c r="L71">
        <v>95</v>
      </c>
      <c r="M71">
        <v>91</v>
      </c>
      <c r="N71">
        <v>0.97763999999999995</v>
      </c>
      <c r="O71">
        <v>0.93752000000000002</v>
      </c>
      <c r="P71">
        <v>0.53</v>
      </c>
      <c r="Q71">
        <v>91</v>
      </c>
      <c r="R71">
        <v>1</v>
      </c>
      <c r="S71">
        <v>95</v>
      </c>
      <c r="T71">
        <v>91</v>
      </c>
      <c r="U71">
        <v>0.93725999999999998</v>
      </c>
      <c r="V71">
        <v>0.97743999999999998</v>
      </c>
      <c r="W71">
        <v>0.55000000000000004</v>
      </c>
      <c r="X71">
        <v>91</v>
      </c>
      <c r="Y71">
        <v>1</v>
      </c>
      <c r="Z71">
        <v>95</v>
      </c>
      <c r="AA71">
        <v>91</v>
      </c>
    </row>
    <row r="72" spans="1:27" x14ac:dyDescent="0.2">
      <c r="A72" t="s">
        <v>233</v>
      </c>
      <c r="B72" t="s">
        <v>14</v>
      </c>
      <c r="C72" t="s">
        <v>234</v>
      </c>
      <c r="D72" t="s">
        <v>208</v>
      </c>
      <c r="E72">
        <v>0</v>
      </c>
      <c r="F72" t="s">
        <v>461</v>
      </c>
    </row>
    <row r="73" spans="1:27" x14ac:dyDescent="0.2">
      <c r="A73" t="s">
        <v>236</v>
      </c>
      <c r="B73" t="s">
        <v>19</v>
      </c>
      <c r="C73" t="s">
        <v>237</v>
      </c>
      <c r="D73" t="s">
        <v>238</v>
      </c>
      <c r="E73">
        <v>1</v>
      </c>
      <c r="F73" t="s">
        <v>461</v>
      </c>
      <c r="G73">
        <v>0.42559000000000002</v>
      </c>
      <c r="H73">
        <v>0.69559000000000004</v>
      </c>
      <c r="I73">
        <v>1.76</v>
      </c>
      <c r="J73">
        <v>25</v>
      </c>
      <c r="K73">
        <v>1</v>
      </c>
      <c r="L73">
        <v>51</v>
      </c>
      <c r="M73">
        <v>27</v>
      </c>
      <c r="N73">
        <v>0.60834999999999995</v>
      </c>
      <c r="O73">
        <v>0.37863000000000002</v>
      </c>
      <c r="P73">
        <v>1.54</v>
      </c>
      <c r="Q73">
        <v>22</v>
      </c>
      <c r="R73">
        <v>0.95499999999999996</v>
      </c>
      <c r="S73">
        <v>51</v>
      </c>
      <c r="T73">
        <v>27</v>
      </c>
      <c r="U73">
        <v>0.43175000000000002</v>
      </c>
      <c r="V73">
        <v>0.73995999999999995</v>
      </c>
      <c r="W73">
        <v>1.48</v>
      </c>
      <c r="X73">
        <v>24</v>
      </c>
      <c r="Y73">
        <v>1</v>
      </c>
      <c r="Z73">
        <v>51</v>
      </c>
      <c r="AA73">
        <v>27</v>
      </c>
    </row>
    <row r="74" spans="1:27" x14ac:dyDescent="0.2">
      <c r="A74" t="s">
        <v>239</v>
      </c>
      <c r="B74" t="s">
        <v>14</v>
      </c>
      <c r="C74" t="s">
        <v>240</v>
      </c>
      <c r="D74" t="s">
        <v>241</v>
      </c>
      <c r="E74">
        <v>1</v>
      </c>
      <c r="F74" t="s">
        <v>462</v>
      </c>
      <c r="G74">
        <v>0.27176</v>
      </c>
      <c r="H74">
        <v>0.32180999999999998</v>
      </c>
      <c r="I74">
        <v>6.07</v>
      </c>
      <c r="J74">
        <v>122</v>
      </c>
      <c r="K74">
        <v>7.3999999999999996E-2</v>
      </c>
      <c r="L74">
        <v>267</v>
      </c>
      <c r="M74">
        <v>209</v>
      </c>
      <c r="N74">
        <v>0.95801999999999998</v>
      </c>
      <c r="O74">
        <v>0.75583</v>
      </c>
      <c r="P74">
        <v>1.21</v>
      </c>
      <c r="Q74">
        <v>209</v>
      </c>
      <c r="R74">
        <v>0.99</v>
      </c>
      <c r="S74">
        <v>267</v>
      </c>
      <c r="T74">
        <v>209</v>
      </c>
      <c r="U74">
        <v>0.74895</v>
      </c>
      <c r="V74">
        <v>0.94703999999999999</v>
      </c>
      <c r="W74">
        <v>1.34</v>
      </c>
      <c r="X74">
        <v>209</v>
      </c>
      <c r="Y74">
        <v>0.97599999999999998</v>
      </c>
      <c r="Z74">
        <v>267</v>
      </c>
      <c r="AA74">
        <v>209</v>
      </c>
    </row>
    <row r="75" spans="1:27" x14ac:dyDescent="0.2">
      <c r="A75" t="s">
        <v>243</v>
      </c>
      <c r="B75" t="s">
        <v>26</v>
      </c>
      <c r="C75" t="s">
        <v>244</v>
      </c>
      <c r="D75" t="s">
        <v>241</v>
      </c>
      <c r="E75">
        <v>1</v>
      </c>
      <c r="F75" t="s">
        <v>462</v>
      </c>
      <c r="G75">
        <v>0.35814000000000001</v>
      </c>
      <c r="H75">
        <v>0.35814000000000001</v>
      </c>
      <c r="I75">
        <v>4.88</v>
      </c>
      <c r="J75">
        <v>104</v>
      </c>
      <c r="K75">
        <v>0.45200000000000001</v>
      </c>
      <c r="L75">
        <v>185</v>
      </c>
      <c r="M75">
        <v>185</v>
      </c>
      <c r="N75">
        <v>0.36558000000000002</v>
      </c>
      <c r="O75">
        <v>0.36558000000000002</v>
      </c>
      <c r="P75">
        <v>5.28</v>
      </c>
      <c r="Q75">
        <v>107</v>
      </c>
      <c r="R75">
        <v>0.53300000000000003</v>
      </c>
      <c r="S75">
        <v>185</v>
      </c>
      <c r="T75">
        <v>185</v>
      </c>
      <c r="U75">
        <v>0.44619999999999999</v>
      </c>
      <c r="V75">
        <v>0.44619999999999999</v>
      </c>
      <c r="W75">
        <v>3.1</v>
      </c>
      <c r="X75">
        <v>105</v>
      </c>
      <c r="Y75">
        <v>0.77100000000000002</v>
      </c>
      <c r="Z75">
        <v>185</v>
      </c>
      <c r="AA75">
        <v>185</v>
      </c>
    </row>
    <row r="76" spans="1:27" x14ac:dyDescent="0.2">
      <c r="A76" t="s">
        <v>245</v>
      </c>
      <c r="B76" t="s">
        <v>246</v>
      </c>
      <c r="C76" t="s">
        <v>247</v>
      </c>
      <c r="D76" t="s">
        <v>241</v>
      </c>
      <c r="E76">
        <v>0</v>
      </c>
      <c r="F76" t="s">
        <v>462</v>
      </c>
    </row>
    <row r="77" spans="1:27" x14ac:dyDescent="0.2">
      <c r="A77" t="s">
        <v>248</v>
      </c>
      <c r="B77" t="s">
        <v>249</v>
      </c>
      <c r="C77" t="s">
        <v>250</v>
      </c>
      <c r="D77" t="s">
        <v>251</v>
      </c>
      <c r="E77">
        <v>0</v>
      </c>
      <c r="F77" t="s">
        <v>463</v>
      </c>
    </row>
    <row r="78" spans="1:27" x14ac:dyDescent="0.2">
      <c r="A78" t="s">
        <v>253</v>
      </c>
      <c r="B78" t="s">
        <v>254</v>
      </c>
      <c r="C78" t="s">
        <v>255</v>
      </c>
      <c r="D78" t="s">
        <v>217</v>
      </c>
      <c r="E78">
        <v>1</v>
      </c>
      <c r="F78" t="s">
        <v>463</v>
      </c>
      <c r="G78">
        <v>0.48585</v>
      </c>
      <c r="H78">
        <v>0.48843999999999999</v>
      </c>
      <c r="I78">
        <v>6.13</v>
      </c>
      <c r="J78">
        <v>315</v>
      </c>
      <c r="K78">
        <v>0.41</v>
      </c>
      <c r="L78">
        <v>434</v>
      </c>
      <c r="M78">
        <v>431</v>
      </c>
      <c r="N78">
        <v>0.88719000000000003</v>
      </c>
      <c r="O78">
        <v>0.88153999999999999</v>
      </c>
      <c r="P78">
        <v>2.88</v>
      </c>
      <c r="Q78">
        <v>428</v>
      </c>
      <c r="R78">
        <v>0.96</v>
      </c>
      <c r="S78">
        <v>434</v>
      </c>
      <c r="T78">
        <v>431</v>
      </c>
      <c r="U78">
        <v>0.43325999999999998</v>
      </c>
      <c r="V78">
        <v>0.43578</v>
      </c>
      <c r="W78">
        <v>5.99</v>
      </c>
      <c r="X78">
        <v>262</v>
      </c>
      <c r="Y78">
        <v>0.46600000000000003</v>
      </c>
      <c r="Z78">
        <v>434</v>
      </c>
      <c r="AA78">
        <v>431</v>
      </c>
    </row>
    <row r="79" spans="1:27" x14ac:dyDescent="0.2">
      <c r="A79" t="s">
        <v>256</v>
      </c>
      <c r="B79" t="s">
        <v>26</v>
      </c>
      <c r="C79" t="s">
        <v>257</v>
      </c>
      <c r="D79" t="s">
        <v>217</v>
      </c>
      <c r="E79">
        <v>1</v>
      </c>
      <c r="F79" t="s">
        <v>464</v>
      </c>
      <c r="G79">
        <v>0.18726999999999999</v>
      </c>
      <c r="H79">
        <v>0.85223000000000004</v>
      </c>
      <c r="I79">
        <v>1.83</v>
      </c>
      <c r="J79">
        <v>111</v>
      </c>
      <c r="K79">
        <v>0.88300000000000001</v>
      </c>
      <c r="L79">
        <v>575</v>
      </c>
      <c r="M79">
        <v>121</v>
      </c>
      <c r="N79">
        <v>0.93171000000000004</v>
      </c>
      <c r="O79">
        <v>0.59677000000000002</v>
      </c>
      <c r="P79">
        <v>2.11</v>
      </c>
      <c r="Q79">
        <v>360</v>
      </c>
      <c r="R79">
        <v>0.93899999999999995</v>
      </c>
      <c r="S79">
        <v>575</v>
      </c>
      <c r="T79">
        <v>362</v>
      </c>
      <c r="U79">
        <v>0.16833000000000001</v>
      </c>
      <c r="V79">
        <v>0.74397999999999997</v>
      </c>
      <c r="W79">
        <v>2.02</v>
      </c>
      <c r="X79">
        <v>101</v>
      </c>
      <c r="Y79">
        <v>0.96</v>
      </c>
      <c r="Z79">
        <v>575</v>
      </c>
      <c r="AA79">
        <v>121</v>
      </c>
    </row>
    <row r="80" spans="1:27" x14ac:dyDescent="0.2">
      <c r="A80" t="s">
        <v>259</v>
      </c>
      <c r="B80" t="s">
        <v>260</v>
      </c>
      <c r="C80" t="s">
        <v>261</v>
      </c>
      <c r="D80" t="s">
        <v>251</v>
      </c>
      <c r="E80">
        <v>0</v>
      </c>
      <c r="F80" t="s">
        <v>465</v>
      </c>
    </row>
    <row r="81" spans="1:27" x14ac:dyDescent="0.2">
      <c r="A81" t="s">
        <v>263</v>
      </c>
      <c r="B81" t="s">
        <v>264</v>
      </c>
      <c r="C81" t="s">
        <v>257</v>
      </c>
      <c r="D81" t="s">
        <v>217</v>
      </c>
      <c r="E81">
        <v>1</v>
      </c>
      <c r="F81" t="s">
        <v>465</v>
      </c>
      <c r="G81">
        <v>0.54564999999999997</v>
      </c>
      <c r="H81">
        <v>0.75643000000000005</v>
      </c>
      <c r="I81">
        <v>4.29</v>
      </c>
      <c r="J81">
        <v>378</v>
      </c>
      <c r="K81">
        <v>0.76500000000000001</v>
      </c>
      <c r="L81">
        <v>575</v>
      </c>
      <c r="M81">
        <v>394</v>
      </c>
      <c r="N81">
        <v>0.90281</v>
      </c>
      <c r="O81">
        <v>0.63166</v>
      </c>
      <c r="P81">
        <v>2.4500000000000002</v>
      </c>
      <c r="Q81">
        <v>389</v>
      </c>
      <c r="R81">
        <v>0.95899999999999996</v>
      </c>
      <c r="S81">
        <v>575</v>
      </c>
      <c r="T81">
        <v>394</v>
      </c>
      <c r="U81">
        <v>0.27605000000000002</v>
      </c>
      <c r="V81">
        <v>0.36619000000000002</v>
      </c>
      <c r="W81">
        <v>6.82</v>
      </c>
      <c r="X81">
        <v>239</v>
      </c>
      <c r="Y81">
        <v>0.109</v>
      </c>
      <c r="Z81">
        <v>575</v>
      </c>
      <c r="AA81">
        <v>394</v>
      </c>
    </row>
    <row r="82" spans="1:27" x14ac:dyDescent="0.2">
      <c r="A82" t="s">
        <v>265</v>
      </c>
      <c r="B82" t="s">
        <v>14</v>
      </c>
      <c r="C82" t="s">
        <v>261</v>
      </c>
      <c r="D82" t="s">
        <v>251</v>
      </c>
      <c r="E82">
        <v>0</v>
      </c>
      <c r="F82" t="s">
        <v>466</v>
      </c>
    </row>
    <row r="83" spans="1:27" x14ac:dyDescent="0.2">
      <c r="A83" t="s">
        <v>267</v>
      </c>
      <c r="B83" t="s">
        <v>19</v>
      </c>
      <c r="C83" t="s">
        <v>257</v>
      </c>
      <c r="D83" t="s">
        <v>217</v>
      </c>
      <c r="E83">
        <v>1</v>
      </c>
      <c r="F83" t="s">
        <v>466</v>
      </c>
      <c r="G83">
        <v>0.38114999999999999</v>
      </c>
      <c r="H83">
        <v>0.42748999999999998</v>
      </c>
      <c r="I83">
        <v>6.1</v>
      </c>
      <c r="J83">
        <v>250</v>
      </c>
      <c r="K83">
        <v>0.46</v>
      </c>
      <c r="L83">
        <v>441</v>
      </c>
      <c r="M83">
        <v>379</v>
      </c>
      <c r="N83">
        <v>0.91452</v>
      </c>
      <c r="O83">
        <v>0.79276000000000002</v>
      </c>
      <c r="P83">
        <v>2.48</v>
      </c>
      <c r="Q83">
        <v>379</v>
      </c>
      <c r="R83">
        <v>0.97899999999999998</v>
      </c>
      <c r="S83">
        <v>441</v>
      </c>
      <c r="T83">
        <v>379</v>
      </c>
      <c r="U83">
        <v>0.38766</v>
      </c>
      <c r="V83">
        <v>0.44</v>
      </c>
      <c r="W83">
        <v>5.39</v>
      </c>
      <c r="X83">
        <v>228</v>
      </c>
      <c r="Y83">
        <v>0.48699999999999999</v>
      </c>
      <c r="Z83">
        <v>441</v>
      </c>
      <c r="AA83">
        <v>379</v>
      </c>
    </row>
    <row r="84" spans="1:27" x14ac:dyDescent="0.2">
      <c r="A84" t="s">
        <v>268</v>
      </c>
      <c r="B84" t="s">
        <v>14</v>
      </c>
      <c r="C84" t="s">
        <v>269</v>
      </c>
      <c r="D84" t="s">
        <v>238</v>
      </c>
      <c r="E84">
        <v>1</v>
      </c>
      <c r="F84" t="s">
        <v>467</v>
      </c>
      <c r="G84">
        <v>0.75200999999999996</v>
      </c>
      <c r="H84">
        <v>0.75200999999999996</v>
      </c>
      <c r="I84">
        <v>1.76</v>
      </c>
      <c r="J84">
        <v>56</v>
      </c>
      <c r="K84">
        <v>1</v>
      </c>
      <c r="L84">
        <v>60</v>
      </c>
      <c r="M84">
        <v>60</v>
      </c>
      <c r="N84">
        <v>0.83352999999999999</v>
      </c>
      <c r="O84">
        <v>0.83352999999999999</v>
      </c>
      <c r="P84">
        <v>1.73</v>
      </c>
      <c r="Q84">
        <v>59</v>
      </c>
      <c r="R84">
        <v>1</v>
      </c>
      <c r="S84">
        <v>60</v>
      </c>
      <c r="T84">
        <v>60</v>
      </c>
      <c r="U84">
        <v>0.91169</v>
      </c>
      <c r="V84">
        <v>0.91169</v>
      </c>
      <c r="W84">
        <v>1.27</v>
      </c>
      <c r="X84">
        <v>60</v>
      </c>
      <c r="Y84">
        <v>1</v>
      </c>
      <c r="Z84">
        <v>60</v>
      </c>
      <c r="AA84">
        <v>60</v>
      </c>
    </row>
    <row r="85" spans="1:27" x14ac:dyDescent="0.2">
      <c r="A85" t="s">
        <v>271</v>
      </c>
      <c r="B85" t="s">
        <v>14</v>
      </c>
      <c r="C85" t="s">
        <v>269</v>
      </c>
      <c r="D85" t="s">
        <v>238</v>
      </c>
      <c r="E85">
        <v>1</v>
      </c>
      <c r="F85" t="s">
        <v>467</v>
      </c>
      <c r="G85">
        <v>0.61499999999999999</v>
      </c>
      <c r="H85">
        <v>0.61499999999999999</v>
      </c>
      <c r="I85">
        <v>2.2200000000000002</v>
      </c>
      <c r="J85">
        <v>67</v>
      </c>
      <c r="K85">
        <v>0.97</v>
      </c>
      <c r="L85">
        <v>89</v>
      </c>
      <c r="M85">
        <v>89</v>
      </c>
      <c r="N85">
        <v>0.78783999999999998</v>
      </c>
      <c r="O85">
        <v>0.78783999999999998</v>
      </c>
      <c r="P85">
        <v>1.59</v>
      </c>
      <c r="Q85">
        <v>79</v>
      </c>
      <c r="R85">
        <v>1</v>
      </c>
      <c r="S85">
        <v>89</v>
      </c>
      <c r="T85">
        <v>89</v>
      </c>
      <c r="U85">
        <v>0.80730000000000002</v>
      </c>
      <c r="V85">
        <v>0.80730000000000002</v>
      </c>
      <c r="W85">
        <v>1.21</v>
      </c>
      <c r="X85">
        <v>77</v>
      </c>
      <c r="Y85">
        <v>1</v>
      </c>
      <c r="Z85">
        <v>89</v>
      </c>
      <c r="AA85">
        <v>89</v>
      </c>
    </row>
    <row r="86" spans="1:27" x14ac:dyDescent="0.2">
      <c r="A86" t="s">
        <v>272</v>
      </c>
      <c r="B86" t="s">
        <v>14</v>
      </c>
      <c r="C86" t="s">
        <v>269</v>
      </c>
      <c r="D86" t="s">
        <v>238</v>
      </c>
      <c r="E86">
        <v>1</v>
      </c>
      <c r="F86" t="s">
        <v>467</v>
      </c>
      <c r="G86">
        <v>0.31375999999999998</v>
      </c>
      <c r="H86">
        <v>0.32385000000000003</v>
      </c>
      <c r="I86">
        <v>3.43</v>
      </c>
      <c r="J86">
        <v>44</v>
      </c>
      <c r="K86">
        <v>0.61399999999999999</v>
      </c>
      <c r="L86">
        <v>95</v>
      </c>
      <c r="M86">
        <v>91</v>
      </c>
      <c r="N86">
        <v>0.68037000000000003</v>
      </c>
      <c r="O86">
        <v>0.65578999999999998</v>
      </c>
      <c r="P86">
        <v>2.0699999999999998</v>
      </c>
      <c r="Q86">
        <v>74</v>
      </c>
      <c r="R86">
        <v>0.94599999999999995</v>
      </c>
      <c r="S86">
        <v>95</v>
      </c>
      <c r="T86">
        <v>91</v>
      </c>
      <c r="U86">
        <v>0.66210000000000002</v>
      </c>
      <c r="V86">
        <v>0.68725999999999998</v>
      </c>
      <c r="W86">
        <v>2.06</v>
      </c>
      <c r="X86">
        <v>74</v>
      </c>
      <c r="Y86">
        <v>0.94599999999999995</v>
      </c>
      <c r="Z86">
        <v>95</v>
      </c>
      <c r="AA86">
        <v>91</v>
      </c>
    </row>
    <row r="87" spans="1:27" x14ac:dyDescent="0.2">
      <c r="A87" t="s">
        <v>273</v>
      </c>
      <c r="B87" t="s">
        <v>82</v>
      </c>
      <c r="C87" t="s">
        <v>274</v>
      </c>
      <c r="D87" t="s">
        <v>275</v>
      </c>
      <c r="E87">
        <v>1</v>
      </c>
      <c r="F87" t="s">
        <v>468</v>
      </c>
      <c r="G87">
        <v>0.74278999999999995</v>
      </c>
      <c r="H87">
        <v>0.94623000000000002</v>
      </c>
      <c r="I87">
        <v>1.39</v>
      </c>
      <c r="J87">
        <v>112</v>
      </c>
      <c r="K87">
        <v>0.85699999999999998</v>
      </c>
      <c r="L87">
        <v>144</v>
      </c>
      <c r="M87">
        <v>112</v>
      </c>
      <c r="N87">
        <v>0.94513000000000003</v>
      </c>
      <c r="O87">
        <v>0.74214000000000002</v>
      </c>
      <c r="P87">
        <v>1.36</v>
      </c>
      <c r="Q87">
        <v>112</v>
      </c>
      <c r="R87">
        <v>0.92</v>
      </c>
      <c r="S87">
        <v>144</v>
      </c>
      <c r="T87">
        <v>112</v>
      </c>
      <c r="U87">
        <v>0.73029999999999995</v>
      </c>
      <c r="V87">
        <v>0.92734000000000005</v>
      </c>
      <c r="W87">
        <v>1.53</v>
      </c>
      <c r="X87">
        <v>112</v>
      </c>
      <c r="Y87">
        <v>0.86599999999999999</v>
      </c>
      <c r="Z87">
        <v>144</v>
      </c>
      <c r="AA87">
        <v>112</v>
      </c>
    </row>
    <row r="88" spans="1:27" x14ac:dyDescent="0.2">
      <c r="A88" t="s">
        <v>277</v>
      </c>
      <c r="B88" t="s">
        <v>14</v>
      </c>
      <c r="C88" t="s">
        <v>278</v>
      </c>
      <c r="D88" t="s">
        <v>279</v>
      </c>
      <c r="E88">
        <v>1</v>
      </c>
      <c r="F88" t="s">
        <v>469</v>
      </c>
      <c r="G88">
        <v>0.42716999999999999</v>
      </c>
      <c r="H88">
        <v>0.66642999999999997</v>
      </c>
      <c r="I88">
        <v>2.83</v>
      </c>
      <c r="J88">
        <v>83</v>
      </c>
      <c r="K88">
        <v>0.81899999999999995</v>
      </c>
      <c r="L88">
        <v>155</v>
      </c>
      <c r="M88">
        <v>89</v>
      </c>
      <c r="N88">
        <v>0.58237000000000005</v>
      </c>
      <c r="O88">
        <v>0.37636999999999998</v>
      </c>
      <c r="P88">
        <v>2.87</v>
      </c>
      <c r="Q88">
        <v>74</v>
      </c>
      <c r="R88">
        <v>0.85099999999999998</v>
      </c>
      <c r="S88">
        <v>155</v>
      </c>
      <c r="T88">
        <v>89</v>
      </c>
      <c r="U88">
        <v>0.42734</v>
      </c>
      <c r="V88">
        <v>0.70189000000000001</v>
      </c>
      <c r="W88">
        <v>2.02</v>
      </c>
      <c r="X88">
        <v>74</v>
      </c>
      <c r="Y88">
        <v>1</v>
      </c>
      <c r="Z88">
        <v>155</v>
      </c>
      <c r="AA88">
        <v>89</v>
      </c>
    </row>
    <row r="89" spans="1:27" x14ac:dyDescent="0.2">
      <c r="A89" t="s">
        <v>281</v>
      </c>
      <c r="B89" t="s">
        <v>35</v>
      </c>
      <c r="C89" t="s">
        <v>282</v>
      </c>
      <c r="D89" t="s">
        <v>59</v>
      </c>
      <c r="E89">
        <v>1</v>
      </c>
      <c r="F89" t="s">
        <v>470</v>
      </c>
      <c r="G89">
        <v>0.85694999999999999</v>
      </c>
      <c r="H89">
        <v>0.90388000000000002</v>
      </c>
      <c r="I89">
        <v>1.6</v>
      </c>
      <c r="J89">
        <v>135</v>
      </c>
      <c r="K89">
        <v>0.92600000000000005</v>
      </c>
      <c r="L89">
        <v>148</v>
      </c>
      <c r="M89">
        <v>140</v>
      </c>
      <c r="U89">
        <v>0.88478999999999997</v>
      </c>
      <c r="V89">
        <v>0.93327000000000004</v>
      </c>
      <c r="W89">
        <v>1.32</v>
      </c>
      <c r="X89">
        <v>138</v>
      </c>
      <c r="Y89">
        <v>0.94199999999999995</v>
      </c>
      <c r="Z89">
        <v>148</v>
      </c>
      <c r="AA89">
        <v>140</v>
      </c>
    </row>
    <row r="90" spans="1:27" x14ac:dyDescent="0.2">
      <c r="A90" t="s">
        <v>284</v>
      </c>
      <c r="B90" t="s">
        <v>26</v>
      </c>
      <c r="C90" t="s">
        <v>285</v>
      </c>
      <c r="D90" t="s">
        <v>59</v>
      </c>
      <c r="E90">
        <v>1</v>
      </c>
      <c r="F90" t="s">
        <v>470</v>
      </c>
      <c r="G90">
        <v>0.83274000000000004</v>
      </c>
      <c r="H90">
        <v>0.92283999999999999</v>
      </c>
      <c r="I90">
        <v>1.34</v>
      </c>
      <c r="J90">
        <v>130</v>
      </c>
      <c r="K90">
        <v>0.91500000000000004</v>
      </c>
      <c r="L90">
        <v>148</v>
      </c>
      <c r="M90">
        <v>133</v>
      </c>
      <c r="U90">
        <v>0.84792999999999996</v>
      </c>
      <c r="V90">
        <v>0.94021999999999994</v>
      </c>
      <c r="W90">
        <v>1.1599999999999999</v>
      </c>
      <c r="X90">
        <v>131</v>
      </c>
      <c r="Y90">
        <v>0.95399999999999996</v>
      </c>
      <c r="Z90">
        <v>148</v>
      </c>
      <c r="AA90">
        <v>133</v>
      </c>
    </row>
    <row r="91" spans="1:27" x14ac:dyDescent="0.2">
      <c r="A91" t="s">
        <v>286</v>
      </c>
      <c r="B91" t="s">
        <v>14</v>
      </c>
      <c r="C91" t="s">
        <v>287</v>
      </c>
      <c r="D91" t="s">
        <v>241</v>
      </c>
      <c r="E91">
        <v>1</v>
      </c>
      <c r="F91" t="s">
        <v>471</v>
      </c>
      <c r="G91">
        <v>0.26844000000000001</v>
      </c>
      <c r="H91">
        <v>0.27837000000000001</v>
      </c>
      <c r="I91">
        <v>4.3899999999999997</v>
      </c>
      <c r="J91">
        <v>48</v>
      </c>
      <c r="K91">
        <v>0.104</v>
      </c>
      <c r="L91">
        <v>95</v>
      </c>
      <c r="M91">
        <v>89</v>
      </c>
      <c r="N91">
        <v>0.79247999999999996</v>
      </c>
      <c r="O91">
        <v>0.74892000000000003</v>
      </c>
      <c r="P91">
        <v>1.99</v>
      </c>
      <c r="Q91">
        <v>84</v>
      </c>
      <c r="R91">
        <v>0.83299999999999996</v>
      </c>
      <c r="S91">
        <v>95</v>
      </c>
      <c r="T91">
        <v>89</v>
      </c>
      <c r="U91">
        <v>0.35630000000000001</v>
      </c>
      <c r="V91">
        <v>0.37175999999999998</v>
      </c>
      <c r="W91">
        <v>3.94</v>
      </c>
      <c r="X91">
        <v>58</v>
      </c>
      <c r="Y91">
        <v>0.13800000000000001</v>
      </c>
      <c r="Z91">
        <v>95</v>
      </c>
      <c r="AA91">
        <v>89</v>
      </c>
    </row>
    <row r="92" spans="1:27" x14ac:dyDescent="0.2">
      <c r="A92" t="s">
        <v>289</v>
      </c>
      <c r="B92" t="s">
        <v>26</v>
      </c>
      <c r="C92" t="s">
        <v>290</v>
      </c>
      <c r="D92" t="s">
        <v>241</v>
      </c>
      <c r="E92">
        <v>1</v>
      </c>
      <c r="F92" t="s">
        <v>471</v>
      </c>
      <c r="G92">
        <v>0.37218000000000001</v>
      </c>
      <c r="H92">
        <v>0.37369000000000002</v>
      </c>
      <c r="I92">
        <v>5.3</v>
      </c>
      <c r="J92">
        <v>109</v>
      </c>
      <c r="K92">
        <v>0.67900000000000005</v>
      </c>
      <c r="L92">
        <v>170</v>
      </c>
      <c r="M92">
        <v>169</v>
      </c>
      <c r="N92">
        <v>0.98340000000000005</v>
      </c>
      <c r="O92">
        <v>0.97770000000000001</v>
      </c>
      <c r="P92">
        <v>0.65</v>
      </c>
      <c r="Q92">
        <v>169</v>
      </c>
      <c r="R92">
        <v>1</v>
      </c>
      <c r="S92">
        <v>170</v>
      </c>
      <c r="T92">
        <v>169</v>
      </c>
      <c r="U92">
        <v>0.98358999999999996</v>
      </c>
      <c r="V92">
        <v>0.98934999999999995</v>
      </c>
      <c r="W92">
        <v>0.51</v>
      </c>
      <c r="X92">
        <v>169</v>
      </c>
      <c r="Y92">
        <v>1</v>
      </c>
      <c r="Z92">
        <v>170</v>
      </c>
      <c r="AA92">
        <v>169</v>
      </c>
    </row>
    <row r="93" spans="1:27" x14ac:dyDescent="0.2">
      <c r="A93" t="s">
        <v>291</v>
      </c>
      <c r="B93" t="s">
        <v>68</v>
      </c>
      <c r="C93" t="s">
        <v>290</v>
      </c>
      <c r="D93" t="s">
        <v>241</v>
      </c>
      <c r="E93">
        <v>0</v>
      </c>
      <c r="F93" t="s">
        <v>471</v>
      </c>
    </row>
    <row r="94" spans="1:27" x14ac:dyDescent="0.2">
      <c r="A94" t="s">
        <v>292</v>
      </c>
      <c r="B94" t="s">
        <v>26</v>
      </c>
      <c r="C94" t="s">
        <v>293</v>
      </c>
      <c r="D94" t="s">
        <v>294</v>
      </c>
      <c r="E94">
        <v>1</v>
      </c>
      <c r="F94" t="s">
        <v>472</v>
      </c>
      <c r="G94">
        <v>0.34482000000000002</v>
      </c>
      <c r="H94">
        <v>0.34482000000000002</v>
      </c>
      <c r="I94">
        <v>4.1500000000000004</v>
      </c>
      <c r="J94">
        <v>56</v>
      </c>
      <c r="K94">
        <v>3.5999999999999997E-2</v>
      </c>
      <c r="L94">
        <v>93</v>
      </c>
      <c r="M94">
        <v>93</v>
      </c>
      <c r="N94">
        <v>0.89117999999999997</v>
      </c>
      <c r="O94">
        <v>0.89117999999999997</v>
      </c>
      <c r="P94">
        <v>1.44</v>
      </c>
      <c r="Q94">
        <v>93</v>
      </c>
      <c r="R94">
        <v>1</v>
      </c>
      <c r="S94">
        <v>93</v>
      </c>
      <c r="T94">
        <v>93</v>
      </c>
      <c r="U94">
        <v>0.90854999999999997</v>
      </c>
      <c r="V94">
        <v>0.90854999999999997</v>
      </c>
      <c r="W94">
        <v>1.67</v>
      </c>
      <c r="X94">
        <v>93</v>
      </c>
      <c r="Y94">
        <v>1</v>
      </c>
      <c r="Z94">
        <v>93</v>
      </c>
      <c r="AA94">
        <v>93</v>
      </c>
    </row>
    <row r="95" spans="1:27" x14ac:dyDescent="0.2">
      <c r="A95" t="s">
        <v>296</v>
      </c>
      <c r="B95" t="s">
        <v>14</v>
      </c>
      <c r="C95" t="s">
        <v>297</v>
      </c>
      <c r="D95" t="s">
        <v>298</v>
      </c>
      <c r="E95">
        <v>1</v>
      </c>
      <c r="F95" t="s">
        <v>472</v>
      </c>
      <c r="G95">
        <v>0.82735000000000003</v>
      </c>
      <c r="H95">
        <v>0.90222000000000002</v>
      </c>
      <c r="I95">
        <v>1.4</v>
      </c>
      <c r="J95">
        <v>91</v>
      </c>
      <c r="K95">
        <v>1</v>
      </c>
      <c r="L95">
        <v>104</v>
      </c>
      <c r="M95">
        <v>95</v>
      </c>
      <c r="N95">
        <v>0.94277</v>
      </c>
      <c r="O95">
        <v>0.86389000000000005</v>
      </c>
      <c r="P95">
        <v>1.1499999999999999</v>
      </c>
      <c r="Q95">
        <v>94</v>
      </c>
      <c r="R95">
        <v>0.98899999999999999</v>
      </c>
      <c r="S95">
        <v>104</v>
      </c>
      <c r="T95">
        <v>95</v>
      </c>
      <c r="U95">
        <v>0.84353</v>
      </c>
      <c r="V95">
        <v>0.92079</v>
      </c>
      <c r="W95">
        <v>0.95</v>
      </c>
      <c r="X95">
        <v>91</v>
      </c>
      <c r="Y95">
        <v>0.98899999999999999</v>
      </c>
      <c r="Z95">
        <v>104</v>
      </c>
      <c r="AA95">
        <v>95</v>
      </c>
    </row>
    <row r="96" spans="1:27" x14ac:dyDescent="0.2">
      <c r="A96" t="s">
        <v>299</v>
      </c>
      <c r="B96" t="s">
        <v>26</v>
      </c>
      <c r="C96" t="s">
        <v>300</v>
      </c>
      <c r="D96" t="s">
        <v>294</v>
      </c>
      <c r="E96">
        <v>1</v>
      </c>
      <c r="F96" t="s">
        <v>472</v>
      </c>
      <c r="G96">
        <v>0.66251000000000004</v>
      </c>
      <c r="H96">
        <v>0.69735000000000003</v>
      </c>
      <c r="I96">
        <v>2.87</v>
      </c>
      <c r="J96">
        <v>85</v>
      </c>
      <c r="K96">
        <v>0.72899999999999998</v>
      </c>
      <c r="L96">
        <v>98</v>
      </c>
      <c r="M96">
        <v>92</v>
      </c>
      <c r="N96">
        <v>0.58387</v>
      </c>
      <c r="O96">
        <v>0.55489999999999995</v>
      </c>
      <c r="P96">
        <v>2.77</v>
      </c>
      <c r="Q96">
        <v>71</v>
      </c>
      <c r="R96">
        <v>0.67600000000000005</v>
      </c>
      <c r="S96">
        <v>98</v>
      </c>
      <c r="T96">
        <v>92</v>
      </c>
      <c r="U96">
        <v>0.39112000000000002</v>
      </c>
      <c r="V96">
        <v>0.41082999999999997</v>
      </c>
      <c r="W96">
        <v>3.39</v>
      </c>
      <c r="X96">
        <v>54</v>
      </c>
      <c r="Y96">
        <v>0.72199999999999998</v>
      </c>
      <c r="Z96">
        <v>98</v>
      </c>
      <c r="AA96">
        <v>92</v>
      </c>
    </row>
    <row r="97" spans="1:27" x14ac:dyDescent="0.2">
      <c r="A97" t="s">
        <v>301</v>
      </c>
      <c r="B97" t="s">
        <v>14</v>
      </c>
      <c r="C97" t="s">
        <v>302</v>
      </c>
      <c r="D97" t="s">
        <v>294</v>
      </c>
      <c r="E97">
        <v>1</v>
      </c>
      <c r="F97" t="s">
        <v>472</v>
      </c>
      <c r="G97">
        <v>0.71560999999999997</v>
      </c>
      <c r="H97">
        <v>0.74746999999999997</v>
      </c>
      <c r="I97">
        <v>2.33</v>
      </c>
      <c r="J97">
        <v>87</v>
      </c>
      <c r="K97">
        <v>0.90800000000000003</v>
      </c>
      <c r="L97">
        <v>99</v>
      </c>
      <c r="M97">
        <v>94</v>
      </c>
      <c r="N97">
        <v>0.62868999999999997</v>
      </c>
      <c r="O97">
        <v>0.60185</v>
      </c>
      <c r="P97">
        <v>2.14</v>
      </c>
      <c r="Q97">
        <v>72</v>
      </c>
      <c r="R97">
        <v>0.75</v>
      </c>
      <c r="S97">
        <v>99</v>
      </c>
      <c r="T97">
        <v>94</v>
      </c>
      <c r="U97">
        <v>0.31275999999999998</v>
      </c>
      <c r="V97">
        <v>0.32583000000000001</v>
      </c>
      <c r="W97">
        <v>3.27</v>
      </c>
      <c r="X97">
        <v>43</v>
      </c>
      <c r="Y97">
        <v>0.58099999999999996</v>
      </c>
      <c r="Z97">
        <v>99</v>
      </c>
      <c r="AA97">
        <v>94</v>
      </c>
    </row>
    <row r="98" spans="1:27" x14ac:dyDescent="0.2">
      <c r="A98" t="s">
        <v>303</v>
      </c>
      <c r="B98" t="s">
        <v>26</v>
      </c>
      <c r="C98" t="s">
        <v>304</v>
      </c>
      <c r="D98" t="s">
        <v>305</v>
      </c>
      <c r="E98">
        <v>1</v>
      </c>
      <c r="F98" t="s">
        <v>472</v>
      </c>
      <c r="G98">
        <v>0.36121999999999999</v>
      </c>
      <c r="H98">
        <v>0.36121999999999999</v>
      </c>
      <c r="I98">
        <v>4.47</v>
      </c>
      <c r="J98">
        <v>61</v>
      </c>
      <c r="K98">
        <v>0.23</v>
      </c>
      <c r="L98">
        <v>92</v>
      </c>
      <c r="M98">
        <v>92</v>
      </c>
      <c r="N98">
        <v>0.93394999999999995</v>
      </c>
      <c r="O98">
        <v>0.93394999999999995</v>
      </c>
      <c r="P98">
        <v>1.03</v>
      </c>
      <c r="Q98">
        <v>92</v>
      </c>
      <c r="R98">
        <v>1</v>
      </c>
      <c r="S98">
        <v>92</v>
      </c>
      <c r="T98">
        <v>92</v>
      </c>
      <c r="U98">
        <v>0.91679999999999995</v>
      </c>
      <c r="V98">
        <v>0.91679999999999995</v>
      </c>
      <c r="W98">
        <v>1.86</v>
      </c>
      <c r="X98">
        <v>92</v>
      </c>
      <c r="Y98">
        <v>1</v>
      </c>
      <c r="Z98">
        <v>92</v>
      </c>
      <c r="AA98">
        <v>92</v>
      </c>
    </row>
    <row r="99" spans="1:27" x14ac:dyDescent="0.2">
      <c r="A99" t="s">
        <v>306</v>
      </c>
      <c r="B99" t="s">
        <v>14</v>
      </c>
      <c r="C99" t="s">
        <v>307</v>
      </c>
      <c r="D99" t="s">
        <v>208</v>
      </c>
      <c r="E99">
        <v>0</v>
      </c>
      <c r="F99" t="s">
        <v>473</v>
      </c>
    </row>
    <row r="100" spans="1:27" x14ac:dyDescent="0.2">
      <c r="A100" t="s">
        <v>309</v>
      </c>
      <c r="B100" t="s">
        <v>19</v>
      </c>
      <c r="C100" t="s">
        <v>310</v>
      </c>
      <c r="D100" t="s">
        <v>238</v>
      </c>
      <c r="E100">
        <v>1</v>
      </c>
      <c r="F100" t="s">
        <v>473</v>
      </c>
      <c r="G100">
        <v>0.42888999999999999</v>
      </c>
      <c r="H100">
        <v>0.52705999999999997</v>
      </c>
      <c r="I100">
        <v>3.54</v>
      </c>
      <c r="J100">
        <v>84</v>
      </c>
      <c r="K100">
        <v>0.69</v>
      </c>
      <c r="L100">
        <v>145</v>
      </c>
      <c r="M100">
        <v>112</v>
      </c>
      <c r="N100">
        <v>0.66342000000000001</v>
      </c>
      <c r="O100">
        <v>0.52981999999999996</v>
      </c>
      <c r="P100">
        <v>2.96</v>
      </c>
      <c r="Q100">
        <v>93</v>
      </c>
      <c r="R100">
        <v>0.84899999999999998</v>
      </c>
      <c r="S100">
        <v>145</v>
      </c>
      <c r="T100">
        <v>112</v>
      </c>
      <c r="U100">
        <v>0.59228999999999998</v>
      </c>
      <c r="V100">
        <v>0.75524999999999998</v>
      </c>
      <c r="W100">
        <v>2.16</v>
      </c>
      <c r="X100">
        <v>94</v>
      </c>
      <c r="Y100">
        <v>0.93600000000000005</v>
      </c>
      <c r="Z100">
        <v>145</v>
      </c>
      <c r="AA100">
        <v>112</v>
      </c>
    </row>
    <row r="101" spans="1:27" x14ac:dyDescent="0.2">
      <c r="A101" t="s">
        <v>311</v>
      </c>
      <c r="B101" t="s">
        <v>26</v>
      </c>
      <c r="C101" t="s">
        <v>312</v>
      </c>
      <c r="D101" t="s">
        <v>217</v>
      </c>
      <c r="E101">
        <v>1</v>
      </c>
      <c r="F101" t="s">
        <v>474</v>
      </c>
      <c r="G101">
        <v>0.34650999999999998</v>
      </c>
      <c r="H101">
        <v>0.35709000000000002</v>
      </c>
      <c r="I101">
        <v>4.53</v>
      </c>
      <c r="J101">
        <v>68</v>
      </c>
      <c r="K101">
        <v>0.441</v>
      </c>
      <c r="L101">
        <v>120</v>
      </c>
      <c r="M101">
        <v>115</v>
      </c>
      <c r="N101">
        <v>0.65810999999999997</v>
      </c>
      <c r="O101">
        <v>0.63702000000000003</v>
      </c>
      <c r="P101">
        <v>3.2</v>
      </c>
      <c r="Q101">
        <v>108</v>
      </c>
      <c r="R101">
        <v>0.89800000000000002</v>
      </c>
      <c r="S101">
        <v>120</v>
      </c>
      <c r="T101">
        <v>115</v>
      </c>
      <c r="U101">
        <v>0.65234999999999999</v>
      </c>
      <c r="V101">
        <v>0.67356000000000005</v>
      </c>
      <c r="W101">
        <v>2.97</v>
      </c>
      <c r="X101">
        <v>108</v>
      </c>
      <c r="Y101">
        <v>0.78700000000000003</v>
      </c>
      <c r="Z101">
        <v>120</v>
      </c>
      <c r="AA101">
        <v>115</v>
      </c>
    </row>
    <row r="102" spans="1:27" x14ac:dyDescent="0.2">
      <c r="A102" t="s">
        <v>314</v>
      </c>
      <c r="B102" t="s">
        <v>14</v>
      </c>
      <c r="C102" t="s">
        <v>315</v>
      </c>
      <c r="D102" t="s">
        <v>16</v>
      </c>
      <c r="E102">
        <v>1</v>
      </c>
      <c r="F102" t="s">
        <v>475</v>
      </c>
      <c r="G102">
        <v>0.23483000000000001</v>
      </c>
      <c r="H102">
        <v>0.28069</v>
      </c>
      <c r="I102">
        <v>5.43</v>
      </c>
      <c r="J102">
        <v>91</v>
      </c>
      <c r="K102">
        <v>5.5E-2</v>
      </c>
      <c r="L102">
        <v>239</v>
      </c>
      <c r="M102">
        <v>185</v>
      </c>
      <c r="N102">
        <v>0.53358000000000005</v>
      </c>
      <c r="O102">
        <v>0.42877999999999999</v>
      </c>
      <c r="P102">
        <v>3.82</v>
      </c>
      <c r="Q102">
        <v>130</v>
      </c>
      <c r="R102">
        <v>0.53800000000000003</v>
      </c>
      <c r="S102">
        <v>239</v>
      </c>
      <c r="T102">
        <v>185</v>
      </c>
      <c r="U102">
        <v>0.4325</v>
      </c>
      <c r="V102">
        <v>0.53554999999999997</v>
      </c>
      <c r="W102">
        <v>4.34</v>
      </c>
      <c r="X102">
        <v>137</v>
      </c>
      <c r="Y102">
        <v>0.73</v>
      </c>
      <c r="Z102">
        <v>239</v>
      </c>
      <c r="AA102">
        <v>185</v>
      </c>
    </row>
    <row r="103" spans="1:27" x14ac:dyDescent="0.2">
      <c r="A103" t="s">
        <v>317</v>
      </c>
      <c r="B103" t="s">
        <v>14</v>
      </c>
      <c r="C103" t="s">
        <v>318</v>
      </c>
      <c r="D103" t="s">
        <v>319</v>
      </c>
      <c r="E103">
        <v>0</v>
      </c>
      <c r="F103" t="s">
        <v>476</v>
      </c>
    </row>
    <row r="104" spans="1:27" x14ac:dyDescent="0.2">
      <c r="A104" t="s">
        <v>321</v>
      </c>
      <c r="B104" t="s">
        <v>19</v>
      </c>
      <c r="C104" t="s">
        <v>322</v>
      </c>
      <c r="D104" t="s">
        <v>323</v>
      </c>
      <c r="E104">
        <v>1</v>
      </c>
      <c r="F104" t="s">
        <v>476</v>
      </c>
      <c r="G104">
        <v>0.50146999999999997</v>
      </c>
      <c r="H104">
        <v>0.58874000000000004</v>
      </c>
      <c r="I104">
        <v>3.27</v>
      </c>
      <c r="J104">
        <v>86</v>
      </c>
      <c r="K104">
        <v>0.54700000000000004</v>
      </c>
      <c r="L104">
        <v>122</v>
      </c>
      <c r="M104">
        <v>98</v>
      </c>
      <c r="N104">
        <v>0.91274</v>
      </c>
      <c r="O104">
        <v>0.74292000000000002</v>
      </c>
      <c r="P104">
        <v>1.1499999999999999</v>
      </c>
      <c r="Q104">
        <v>96</v>
      </c>
      <c r="R104">
        <v>1</v>
      </c>
      <c r="S104">
        <v>122</v>
      </c>
      <c r="T104">
        <v>98</v>
      </c>
      <c r="U104">
        <v>0.74682000000000004</v>
      </c>
      <c r="V104">
        <v>0.91864999999999997</v>
      </c>
      <c r="W104">
        <v>1.1100000000000001</v>
      </c>
      <c r="X104">
        <v>96</v>
      </c>
      <c r="Y104">
        <v>1</v>
      </c>
      <c r="Z104">
        <v>122</v>
      </c>
      <c r="AA104">
        <v>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BDEE-4DBA-0C4E-85ED-86174FE6347B}">
  <dimension ref="B3:B83"/>
  <sheetViews>
    <sheetView workbookViewId="0">
      <selection activeCell="B3" sqref="B3:B83"/>
    </sheetView>
  </sheetViews>
  <sheetFormatPr baseColWidth="10" defaultRowHeight="16" x14ac:dyDescent="0.2"/>
  <sheetData>
    <row r="3" spans="2:2" x14ac:dyDescent="0.2">
      <c r="B3" t="s">
        <v>13</v>
      </c>
    </row>
    <row r="4" spans="2:2" x14ac:dyDescent="0.2">
      <c r="B4" t="s">
        <v>21</v>
      </c>
    </row>
    <row r="5" spans="2:2" x14ac:dyDescent="0.2">
      <c r="B5" t="s">
        <v>25</v>
      </c>
    </row>
    <row r="6" spans="2:2" x14ac:dyDescent="0.2">
      <c r="B6" t="s">
        <v>30</v>
      </c>
    </row>
    <row r="7" spans="2:2" x14ac:dyDescent="0.2">
      <c r="B7" t="s">
        <v>34</v>
      </c>
    </row>
    <row r="8" spans="2:2" x14ac:dyDescent="0.2">
      <c r="B8" t="s">
        <v>36</v>
      </c>
    </row>
    <row r="9" spans="2:2" x14ac:dyDescent="0.2">
      <c r="B9" t="s">
        <v>40</v>
      </c>
    </row>
    <row r="10" spans="2:2" x14ac:dyDescent="0.2">
      <c r="B10" t="s">
        <v>43</v>
      </c>
    </row>
    <row r="11" spans="2:2" x14ac:dyDescent="0.2">
      <c r="B11" t="s">
        <v>45</v>
      </c>
    </row>
    <row r="12" spans="2:2" x14ac:dyDescent="0.2">
      <c r="B12" t="s">
        <v>49</v>
      </c>
    </row>
    <row r="13" spans="2:2" x14ac:dyDescent="0.2">
      <c r="B13" t="s">
        <v>51</v>
      </c>
    </row>
    <row r="14" spans="2:2" x14ac:dyDescent="0.2">
      <c r="B14" t="s">
        <v>53</v>
      </c>
    </row>
    <row r="15" spans="2:2" x14ac:dyDescent="0.2">
      <c r="B15" t="s">
        <v>57</v>
      </c>
    </row>
    <row r="16" spans="2:2" x14ac:dyDescent="0.2">
      <c r="B16" t="s">
        <v>61</v>
      </c>
    </row>
    <row r="17" spans="2:2" x14ac:dyDescent="0.2">
      <c r="B17" t="s">
        <v>64</v>
      </c>
    </row>
    <row r="18" spans="2:2" x14ac:dyDescent="0.2">
      <c r="B18" t="s">
        <v>70</v>
      </c>
    </row>
    <row r="19" spans="2:2" x14ac:dyDescent="0.2">
      <c r="B19" t="s">
        <v>74</v>
      </c>
    </row>
    <row r="20" spans="2:2" x14ac:dyDescent="0.2">
      <c r="B20" t="s">
        <v>76</v>
      </c>
    </row>
    <row r="21" spans="2:2" x14ac:dyDescent="0.2">
      <c r="B21" t="s">
        <v>81</v>
      </c>
    </row>
    <row r="22" spans="2:2" x14ac:dyDescent="0.2">
      <c r="B22" t="s">
        <v>84</v>
      </c>
    </row>
    <row r="23" spans="2:2" x14ac:dyDescent="0.2">
      <c r="B23" t="s">
        <v>88</v>
      </c>
    </row>
    <row r="24" spans="2:2" x14ac:dyDescent="0.2">
      <c r="B24" t="s">
        <v>89</v>
      </c>
    </row>
    <row r="25" spans="2:2" x14ac:dyDescent="0.2">
      <c r="B25" t="s">
        <v>92</v>
      </c>
    </row>
    <row r="26" spans="2:2" x14ac:dyDescent="0.2">
      <c r="B26" t="s">
        <v>94</v>
      </c>
    </row>
    <row r="27" spans="2:2" x14ac:dyDescent="0.2">
      <c r="B27" t="s">
        <v>102</v>
      </c>
    </row>
    <row r="28" spans="2:2" x14ac:dyDescent="0.2">
      <c r="B28" t="s">
        <v>105</v>
      </c>
    </row>
    <row r="29" spans="2:2" x14ac:dyDescent="0.2">
      <c r="B29" t="s">
        <v>108</v>
      </c>
    </row>
    <row r="30" spans="2:2" x14ac:dyDescent="0.2">
      <c r="B30" t="s">
        <v>111</v>
      </c>
    </row>
    <row r="31" spans="2:2" x14ac:dyDescent="0.2">
      <c r="B31" t="s">
        <v>114</v>
      </c>
    </row>
    <row r="32" spans="2:2" x14ac:dyDescent="0.2">
      <c r="B32" t="s">
        <v>118</v>
      </c>
    </row>
    <row r="33" spans="2:2" x14ac:dyDescent="0.2">
      <c r="B33" t="s">
        <v>121</v>
      </c>
    </row>
    <row r="34" spans="2:2" x14ac:dyDescent="0.2">
      <c r="B34" t="s">
        <v>124</v>
      </c>
    </row>
    <row r="35" spans="2:2" x14ac:dyDescent="0.2">
      <c r="B35" t="s">
        <v>128</v>
      </c>
    </row>
    <row r="36" spans="2:2" x14ac:dyDescent="0.2">
      <c r="B36" t="s">
        <v>135</v>
      </c>
    </row>
    <row r="37" spans="2:2" x14ac:dyDescent="0.2">
      <c r="B37" t="s">
        <v>138</v>
      </c>
    </row>
    <row r="38" spans="2:2" x14ac:dyDescent="0.2">
      <c r="B38" t="s">
        <v>142</v>
      </c>
    </row>
    <row r="39" spans="2:2" x14ac:dyDescent="0.2">
      <c r="B39" t="s">
        <v>150</v>
      </c>
    </row>
    <row r="40" spans="2:2" x14ac:dyDescent="0.2">
      <c r="B40" t="s">
        <v>153</v>
      </c>
    </row>
    <row r="41" spans="2:2" x14ac:dyDescent="0.2">
      <c r="B41" t="s">
        <v>158</v>
      </c>
    </row>
    <row r="42" spans="2:2" x14ac:dyDescent="0.2">
      <c r="B42" t="s">
        <v>162</v>
      </c>
    </row>
    <row r="43" spans="2:2" x14ac:dyDescent="0.2">
      <c r="B43" t="s">
        <v>163</v>
      </c>
    </row>
    <row r="44" spans="2:2" x14ac:dyDescent="0.2">
      <c r="B44" t="s">
        <v>168</v>
      </c>
    </row>
    <row r="45" spans="2:2" x14ac:dyDescent="0.2">
      <c r="B45" t="s">
        <v>172</v>
      </c>
    </row>
    <row r="46" spans="2:2" x14ac:dyDescent="0.2">
      <c r="B46" t="s">
        <v>178</v>
      </c>
    </row>
    <row r="47" spans="2:2" x14ac:dyDescent="0.2">
      <c r="B47" t="s">
        <v>179</v>
      </c>
    </row>
    <row r="48" spans="2:2" x14ac:dyDescent="0.2">
      <c r="B48" t="s">
        <v>182</v>
      </c>
    </row>
    <row r="49" spans="2:2" x14ac:dyDescent="0.2">
      <c r="B49" t="s">
        <v>186</v>
      </c>
    </row>
    <row r="50" spans="2:2" x14ac:dyDescent="0.2">
      <c r="B50" t="s">
        <v>189</v>
      </c>
    </row>
    <row r="51" spans="2:2" x14ac:dyDescent="0.2">
      <c r="B51" t="s">
        <v>193</v>
      </c>
    </row>
    <row r="52" spans="2:2" x14ac:dyDescent="0.2">
      <c r="B52" t="s">
        <v>199</v>
      </c>
    </row>
    <row r="53" spans="2:2" x14ac:dyDescent="0.2">
      <c r="B53" t="s">
        <v>202</v>
      </c>
    </row>
    <row r="54" spans="2:2" x14ac:dyDescent="0.2">
      <c r="B54" t="s">
        <v>210</v>
      </c>
    </row>
    <row r="55" spans="2:2" x14ac:dyDescent="0.2">
      <c r="B55" t="s">
        <v>211</v>
      </c>
    </row>
    <row r="56" spans="2:2" x14ac:dyDescent="0.2">
      <c r="B56" t="s">
        <v>215</v>
      </c>
    </row>
    <row r="57" spans="2:2" x14ac:dyDescent="0.2">
      <c r="B57" t="s">
        <v>223</v>
      </c>
    </row>
    <row r="58" spans="2:2" x14ac:dyDescent="0.2">
      <c r="B58" t="s">
        <v>229</v>
      </c>
    </row>
    <row r="59" spans="2:2" x14ac:dyDescent="0.2">
      <c r="B59" t="s">
        <v>236</v>
      </c>
    </row>
    <row r="60" spans="2:2" x14ac:dyDescent="0.2">
      <c r="B60" t="s">
        <v>239</v>
      </c>
    </row>
    <row r="61" spans="2:2" x14ac:dyDescent="0.2">
      <c r="B61" t="s">
        <v>243</v>
      </c>
    </row>
    <row r="62" spans="2:2" x14ac:dyDescent="0.2">
      <c r="B62" t="s">
        <v>253</v>
      </c>
    </row>
    <row r="63" spans="2:2" x14ac:dyDescent="0.2">
      <c r="B63" t="s">
        <v>256</v>
      </c>
    </row>
    <row r="64" spans="2:2" x14ac:dyDescent="0.2">
      <c r="B64" t="s">
        <v>263</v>
      </c>
    </row>
    <row r="65" spans="2:2" x14ac:dyDescent="0.2">
      <c r="B65" t="s">
        <v>267</v>
      </c>
    </row>
    <row r="66" spans="2:2" x14ac:dyDescent="0.2">
      <c r="B66" t="s">
        <v>268</v>
      </c>
    </row>
    <row r="67" spans="2:2" x14ac:dyDescent="0.2">
      <c r="B67" t="s">
        <v>271</v>
      </c>
    </row>
    <row r="68" spans="2:2" x14ac:dyDescent="0.2">
      <c r="B68" t="s">
        <v>272</v>
      </c>
    </row>
    <row r="69" spans="2:2" x14ac:dyDescent="0.2">
      <c r="B69" t="s">
        <v>273</v>
      </c>
    </row>
    <row r="70" spans="2:2" x14ac:dyDescent="0.2">
      <c r="B70" t="s">
        <v>277</v>
      </c>
    </row>
    <row r="71" spans="2:2" x14ac:dyDescent="0.2">
      <c r="B71" t="s">
        <v>281</v>
      </c>
    </row>
    <row r="72" spans="2:2" x14ac:dyDescent="0.2">
      <c r="B72" t="s">
        <v>284</v>
      </c>
    </row>
    <row r="73" spans="2:2" x14ac:dyDescent="0.2">
      <c r="B73" t="s">
        <v>286</v>
      </c>
    </row>
    <row r="74" spans="2:2" x14ac:dyDescent="0.2">
      <c r="B74" t="s">
        <v>289</v>
      </c>
    </row>
    <row r="75" spans="2:2" x14ac:dyDescent="0.2">
      <c r="B75" t="s">
        <v>292</v>
      </c>
    </row>
    <row r="76" spans="2:2" x14ac:dyDescent="0.2">
      <c r="B76" t="s">
        <v>296</v>
      </c>
    </row>
    <row r="77" spans="2:2" x14ac:dyDescent="0.2">
      <c r="B77" t="s">
        <v>299</v>
      </c>
    </row>
    <row r="78" spans="2:2" x14ac:dyDescent="0.2">
      <c r="B78" t="s">
        <v>301</v>
      </c>
    </row>
    <row r="79" spans="2:2" x14ac:dyDescent="0.2">
      <c r="B79" t="s">
        <v>303</v>
      </c>
    </row>
    <row r="80" spans="2:2" x14ac:dyDescent="0.2">
      <c r="B80" t="s">
        <v>309</v>
      </c>
    </row>
    <row r="81" spans="2:2" x14ac:dyDescent="0.2">
      <c r="B81" t="s">
        <v>311</v>
      </c>
    </row>
    <row r="82" spans="2:2" x14ac:dyDescent="0.2">
      <c r="B82" t="s">
        <v>314</v>
      </c>
    </row>
    <row r="83" spans="2:2" x14ac:dyDescent="0.2">
      <c r="B83" t="s">
        <v>321</v>
      </c>
    </row>
  </sheetData>
  <sortState xmlns:xlrd2="http://schemas.microsoft.com/office/spreadsheetml/2017/richdata2" ref="B3:B83">
    <sortCondition ref="B3:B83"/>
  </sortState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DDF7-7468-4444-ACA4-44789ACDDEE9}">
  <dimension ref="A2:C81"/>
  <sheetViews>
    <sheetView zoomScale="125" workbookViewId="0">
      <selection activeCell="C81" sqref="C3:C81"/>
    </sheetView>
  </sheetViews>
  <sheetFormatPr baseColWidth="10" defaultRowHeight="16" x14ac:dyDescent="0.2"/>
  <cols>
    <col min="2" max="2" width="15.5" bestFit="1" customWidth="1"/>
    <col min="3" max="3" width="17.1640625" bestFit="1" customWidth="1"/>
  </cols>
  <sheetData>
    <row r="2" spans="1:3" x14ac:dyDescent="0.2">
      <c r="A2" s="2" t="s">
        <v>2</v>
      </c>
      <c r="B2" s="2" t="s">
        <v>477</v>
      </c>
      <c r="C2" s="2" t="s">
        <v>492</v>
      </c>
    </row>
    <row r="3" spans="1:3" x14ac:dyDescent="0.2">
      <c r="A3" s="6" t="s">
        <v>135</v>
      </c>
      <c r="B3" s="6">
        <v>0</v>
      </c>
      <c r="C3" s="3">
        <v>0.92156000000000005</v>
      </c>
    </row>
    <row r="4" spans="1:3" x14ac:dyDescent="0.2">
      <c r="A4" s="6" t="s">
        <v>13</v>
      </c>
      <c r="B4" s="6">
        <v>0.99131000000000002</v>
      </c>
      <c r="C4" s="3">
        <v>0.99351</v>
      </c>
    </row>
    <row r="5" spans="1:3" x14ac:dyDescent="0.2">
      <c r="A5" s="6" t="s">
        <v>138</v>
      </c>
      <c r="B5" s="6">
        <v>0.96206999999999998</v>
      </c>
      <c r="C5" s="3">
        <v>0.93700000000000006</v>
      </c>
    </row>
    <row r="6" spans="1:3" x14ac:dyDescent="0.2">
      <c r="A6" s="6" t="s">
        <v>25</v>
      </c>
      <c r="B6" s="6">
        <v>0.96011999999999997</v>
      </c>
      <c r="C6" s="3">
        <v>0.97702</v>
      </c>
    </row>
    <row r="7" spans="1:3" x14ac:dyDescent="0.2">
      <c r="A7" s="6" t="s">
        <v>178</v>
      </c>
      <c r="B7" s="6">
        <v>0.82730000000000004</v>
      </c>
      <c r="C7" s="3">
        <v>0.95564000000000004</v>
      </c>
    </row>
    <row r="8" spans="1:3" x14ac:dyDescent="0.2">
      <c r="A8" s="6" t="s">
        <v>51</v>
      </c>
      <c r="B8" s="6">
        <v>0.77305999999999997</v>
      </c>
      <c r="C8" s="3">
        <v>0.78280000000000005</v>
      </c>
    </row>
    <row r="9" spans="1:3" x14ac:dyDescent="0.2">
      <c r="A9" s="6" t="s">
        <v>268</v>
      </c>
      <c r="B9" s="6">
        <v>0.75200999999999996</v>
      </c>
      <c r="C9" s="3">
        <v>0.83352999999999999</v>
      </c>
    </row>
    <row r="10" spans="1:3" x14ac:dyDescent="0.2">
      <c r="A10" s="6" t="s">
        <v>172</v>
      </c>
      <c r="B10" s="6">
        <v>0.73097000000000001</v>
      </c>
      <c r="C10" s="3">
        <v>0.88407999999999998</v>
      </c>
    </row>
    <row r="11" spans="1:3" x14ac:dyDescent="0.2">
      <c r="A11" s="6" t="s">
        <v>271</v>
      </c>
      <c r="B11" s="6">
        <v>0.61499999999999999</v>
      </c>
      <c r="C11" s="3">
        <v>0.78783999999999998</v>
      </c>
    </row>
    <row r="12" spans="1:3" x14ac:dyDescent="0.2">
      <c r="A12" s="6" t="s">
        <v>53</v>
      </c>
      <c r="B12" s="6">
        <v>0.57696000000000003</v>
      </c>
      <c r="C12" s="3">
        <v>0.62495000000000001</v>
      </c>
    </row>
    <row r="13" spans="1:3" x14ac:dyDescent="0.2">
      <c r="A13" s="6" t="s">
        <v>43</v>
      </c>
      <c r="B13" s="6">
        <v>0.48946000000000001</v>
      </c>
      <c r="C13" s="3">
        <v>0.89207999999999998</v>
      </c>
    </row>
    <row r="14" spans="1:3" x14ac:dyDescent="0.2">
      <c r="A14" s="6" t="s">
        <v>40</v>
      </c>
      <c r="B14" s="6">
        <v>0.46666999999999997</v>
      </c>
      <c r="C14" s="3">
        <v>0.89905999999999997</v>
      </c>
    </row>
    <row r="15" spans="1:3" x14ac:dyDescent="0.2">
      <c r="A15" s="6" t="s">
        <v>36</v>
      </c>
      <c r="B15" s="6">
        <v>0.45683000000000001</v>
      </c>
      <c r="C15" s="3">
        <v>0.79278999999999999</v>
      </c>
    </row>
    <row r="16" spans="1:3" x14ac:dyDescent="0.2">
      <c r="A16" s="6" t="s">
        <v>168</v>
      </c>
      <c r="B16" s="6">
        <v>0.3659</v>
      </c>
      <c r="C16" s="3">
        <v>0.42210999999999999</v>
      </c>
    </row>
    <row r="17" spans="1:3" x14ac:dyDescent="0.2">
      <c r="A17" s="6" t="s">
        <v>303</v>
      </c>
      <c r="B17" s="6">
        <v>0.36121999999999999</v>
      </c>
      <c r="C17" s="3">
        <v>0.93394999999999995</v>
      </c>
    </row>
    <row r="18" spans="1:3" x14ac:dyDescent="0.2">
      <c r="A18" s="6" t="s">
        <v>243</v>
      </c>
      <c r="B18" s="6">
        <v>0.35813</v>
      </c>
      <c r="C18" s="3">
        <v>0.36558000000000002</v>
      </c>
    </row>
    <row r="19" spans="1:3" x14ac:dyDescent="0.2">
      <c r="A19" s="6" t="s">
        <v>292</v>
      </c>
      <c r="B19" s="6">
        <v>0.34483000000000003</v>
      </c>
      <c r="C19" s="3">
        <v>0.89117999999999997</v>
      </c>
    </row>
    <row r="20" spans="1:3" x14ac:dyDescent="0.2">
      <c r="A20" s="6" t="s">
        <v>189</v>
      </c>
      <c r="B20" s="6">
        <v>0.30736000000000002</v>
      </c>
      <c r="C20" s="3">
        <v>0.90546000000000004</v>
      </c>
    </row>
    <row r="21" spans="1:3" x14ac:dyDescent="0.2">
      <c r="A21" s="6" t="s">
        <v>193</v>
      </c>
      <c r="B21" s="6">
        <v>0.30260999999999999</v>
      </c>
      <c r="C21" s="3">
        <v>0.86395</v>
      </c>
    </row>
    <row r="22" spans="1:3" x14ac:dyDescent="0.2">
      <c r="A22" s="6" t="s">
        <v>21</v>
      </c>
      <c r="B22" s="6">
        <v>0.30002000000000001</v>
      </c>
      <c r="C22" s="3">
        <v>0.36764000000000002</v>
      </c>
    </row>
    <row r="23" spans="1:3" x14ac:dyDescent="0.2">
      <c r="A23" s="6" t="s">
        <v>289</v>
      </c>
      <c r="B23" s="6">
        <v>0.37218000000000001</v>
      </c>
      <c r="C23" s="3">
        <v>0.98340000000000005</v>
      </c>
    </row>
    <row r="24" spans="1:3" x14ac:dyDescent="0.2">
      <c r="A24" s="6" t="s">
        <v>253</v>
      </c>
      <c r="B24" s="6">
        <v>0.48585</v>
      </c>
      <c r="C24" s="3">
        <v>0.88719000000000003</v>
      </c>
    </row>
    <row r="25" spans="1:3" x14ac:dyDescent="0.2">
      <c r="A25" s="6" t="s">
        <v>88</v>
      </c>
      <c r="B25" s="6">
        <v>0.67791000000000001</v>
      </c>
      <c r="C25" s="3">
        <v>0.95867000000000002</v>
      </c>
    </row>
    <row r="26" spans="1:3" x14ac:dyDescent="0.2">
      <c r="A26" s="6" t="s">
        <v>84</v>
      </c>
      <c r="B26" s="6">
        <v>0.67706999999999995</v>
      </c>
      <c r="C26" s="3">
        <v>0.95804999999999996</v>
      </c>
    </row>
    <row r="27" spans="1:3" x14ac:dyDescent="0.2">
      <c r="A27" s="6" t="s">
        <v>202</v>
      </c>
      <c r="B27" s="6">
        <v>0.28098000000000001</v>
      </c>
      <c r="C27" s="3">
        <v>0.37217</v>
      </c>
    </row>
    <row r="28" spans="1:3" x14ac:dyDescent="0.2">
      <c r="A28" s="6" t="s">
        <v>215</v>
      </c>
      <c r="B28" s="6">
        <v>0.28622999999999998</v>
      </c>
      <c r="C28" s="3">
        <v>0.31834000000000001</v>
      </c>
    </row>
    <row r="29" spans="1:3" x14ac:dyDescent="0.2">
      <c r="A29" s="6" t="s">
        <v>142</v>
      </c>
      <c r="B29" s="6">
        <v>0.88753000000000004</v>
      </c>
      <c r="C29" s="3">
        <v>0.89490999999999998</v>
      </c>
    </row>
    <row r="30" spans="1:3" x14ac:dyDescent="0.2">
      <c r="A30" s="6" t="s">
        <v>182</v>
      </c>
      <c r="B30" s="6">
        <v>0.94608999999999999</v>
      </c>
      <c r="C30" s="3">
        <v>0.96958</v>
      </c>
    </row>
    <row r="31" spans="1:3" x14ac:dyDescent="0.2">
      <c r="A31" s="6" t="s">
        <v>211</v>
      </c>
      <c r="B31" s="6">
        <v>0.48496</v>
      </c>
      <c r="C31" s="3">
        <v>0.69479999999999997</v>
      </c>
    </row>
    <row r="32" spans="1:3" x14ac:dyDescent="0.2">
      <c r="A32" s="6" t="s">
        <v>223</v>
      </c>
      <c r="B32" s="6">
        <v>0.35893999999999998</v>
      </c>
      <c r="C32" s="3">
        <v>0.90851999999999999</v>
      </c>
    </row>
    <row r="33" spans="1:3" x14ac:dyDescent="0.2">
      <c r="A33" s="6" t="s">
        <v>105</v>
      </c>
      <c r="B33" s="6">
        <v>0.94089</v>
      </c>
      <c r="C33" s="3">
        <v>0.99019000000000001</v>
      </c>
    </row>
    <row r="34" spans="1:3" x14ac:dyDescent="0.2">
      <c r="A34" s="6" t="s">
        <v>118</v>
      </c>
      <c r="B34" s="6">
        <v>0.84596000000000005</v>
      </c>
      <c r="C34" s="3">
        <v>0.87892000000000003</v>
      </c>
    </row>
    <row r="35" spans="1:3" x14ac:dyDescent="0.2">
      <c r="A35" s="6" t="s">
        <v>89</v>
      </c>
      <c r="B35" s="6">
        <v>0.79468000000000005</v>
      </c>
      <c r="C35" s="3">
        <v>0.73053999999999997</v>
      </c>
    </row>
    <row r="36" spans="1:3" x14ac:dyDescent="0.2">
      <c r="A36" s="6" t="s">
        <v>179</v>
      </c>
      <c r="B36" s="6">
        <v>0.36696000000000001</v>
      </c>
      <c r="C36" s="3">
        <v>0.99121000000000004</v>
      </c>
    </row>
    <row r="37" spans="1:3" x14ac:dyDescent="0.2">
      <c r="A37" s="6" t="s">
        <v>311</v>
      </c>
      <c r="B37" s="6">
        <v>0.34650999999999998</v>
      </c>
      <c r="C37" s="3">
        <v>0.65810999999999997</v>
      </c>
    </row>
    <row r="38" spans="1:3" x14ac:dyDescent="0.2">
      <c r="A38" s="6" t="s">
        <v>272</v>
      </c>
      <c r="B38" s="6">
        <v>0.31375999999999998</v>
      </c>
      <c r="C38" s="3">
        <v>0.68037000000000003</v>
      </c>
    </row>
    <row r="39" spans="1:3" x14ac:dyDescent="0.2">
      <c r="A39" s="6" t="s">
        <v>229</v>
      </c>
      <c r="B39" s="6">
        <v>0.30623</v>
      </c>
      <c r="C39" s="3">
        <v>0.97763999999999995</v>
      </c>
    </row>
    <row r="40" spans="1:3" x14ac:dyDescent="0.2">
      <c r="A40" s="6" t="s">
        <v>76</v>
      </c>
      <c r="B40" s="6">
        <v>0.41221000000000002</v>
      </c>
      <c r="C40" s="3">
        <v>0</v>
      </c>
    </row>
    <row r="41" spans="1:3" x14ac:dyDescent="0.2">
      <c r="A41" s="6" t="s">
        <v>301</v>
      </c>
      <c r="B41" s="6">
        <v>0.71560999999999997</v>
      </c>
      <c r="C41" s="3">
        <v>0.62868999999999997</v>
      </c>
    </row>
    <row r="42" spans="1:3" x14ac:dyDescent="0.2">
      <c r="A42" s="6" t="s">
        <v>108</v>
      </c>
      <c r="B42" s="6">
        <v>0.91459000000000001</v>
      </c>
      <c r="C42" s="3">
        <v>0.99666999999999994</v>
      </c>
    </row>
    <row r="43" spans="1:3" x14ac:dyDescent="0.2">
      <c r="A43" s="6" t="s">
        <v>299</v>
      </c>
      <c r="B43" s="6">
        <v>0.66251000000000004</v>
      </c>
      <c r="C43" s="3">
        <v>0.58387</v>
      </c>
    </row>
    <row r="44" spans="1:3" x14ac:dyDescent="0.2">
      <c r="A44" s="6" t="s">
        <v>286</v>
      </c>
      <c r="B44" s="6">
        <v>0.26844000000000001</v>
      </c>
      <c r="C44" s="3">
        <v>0.79247999999999996</v>
      </c>
    </row>
    <row r="45" spans="1:3" x14ac:dyDescent="0.2">
      <c r="A45" s="6" t="s">
        <v>92</v>
      </c>
      <c r="B45" s="6">
        <v>0.86446999999999996</v>
      </c>
      <c r="C45" s="3">
        <v>0.52569999999999995</v>
      </c>
    </row>
    <row r="46" spans="1:3" x14ac:dyDescent="0.2">
      <c r="A46" s="6" t="s">
        <v>296</v>
      </c>
      <c r="B46" s="6">
        <v>0.82735000000000003</v>
      </c>
      <c r="C46" s="3">
        <v>0.94277</v>
      </c>
    </row>
    <row r="47" spans="1:3" x14ac:dyDescent="0.2">
      <c r="A47" s="6" t="s">
        <v>81</v>
      </c>
      <c r="B47" s="6">
        <v>0.42662</v>
      </c>
      <c r="C47" s="3">
        <v>0.92051000000000005</v>
      </c>
    </row>
    <row r="48" spans="1:3" x14ac:dyDescent="0.2">
      <c r="A48" s="6" t="s">
        <v>57</v>
      </c>
      <c r="B48" s="6">
        <v>0.28986000000000001</v>
      </c>
      <c r="C48" s="3">
        <v>0.97443000000000002</v>
      </c>
    </row>
    <row r="49" spans="1:3" x14ac:dyDescent="0.2">
      <c r="A49" s="6" t="s">
        <v>64</v>
      </c>
      <c r="B49" s="6">
        <v>0.83818000000000004</v>
      </c>
      <c r="C49" s="3">
        <v>0.96877000000000002</v>
      </c>
    </row>
    <row r="50" spans="1:3" x14ac:dyDescent="0.2">
      <c r="A50" s="6" t="s">
        <v>150</v>
      </c>
      <c r="B50" s="6">
        <v>0.74760000000000004</v>
      </c>
      <c r="C50" s="3">
        <v>0.96275999999999995</v>
      </c>
    </row>
    <row r="51" spans="1:3" x14ac:dyDescent="0.2">
      <c r="A51" s="3" t="s">
        <v>102</v>
      </c>
      <c r="B51" s="3">
        <v>0.73897999999999997</v>
      </c>
      <c r="C51" s="3">
        <v>0.96606000000000003</v>
      </c>
    </row>
    <row r="52" spans="1:3" x14ac:dyDescent="0.2">
      <c r="A52" s="3" t="s">
        <v>162</v>
      </c>
      <c r="B52" s="3">
        <v>0.73706000000000005</v>
      </c>
      <c r="C52" s="3">
        <v>0.96592</v>
      </c>
    </row>
    <row r="53" spans="1:3" x14ac:dyDescent="0.2">
      <c r="A53" s="3" t="s">
        <v>128</v>
      </c>
      <c r="B53" s="3">
        <v>0.80327000000000004</v>
      </c>
      <c r="C53" s="3">
        <v>0.91683999999999999</v>
      </c>
    </row>
    <row r="54" spans="1:3" x14ac:dyDescent="0.2">
      <c r="A54" s="3" t="s">
        <v>158</v>
      </c>
      <c r="B54" s="3">
        <v>0.75183</v>
      </c>
      <c r="C54" s="3">
        <v>0.99168999999999996</v>
      </c>
    </row>
    <row r="55" spans="1:3" x14ac:dyDescent="0.2">
      <c r="A55" s="3" t="s">
        <v>153</v>
      </c>
      <c r="B55" s="3">
        <v>0.31384000000000001</v>
      </c>
      <c r="C55" s="3">
        <v>0.87253000000000003</v>
      </c>
    </row>
    <row r="56" spans="1:3" x14ac:dyDescent="0.2">
      <c r="A56" s="3" t="s">
        <v>186</v>
      </c>
      <c r="B56" s="3">
        <v>0.50429999999999997</v>
      </c>
      <c r="C56" s="3">
        <v>0.75978000000000001</v>
      </c>
    </row>
    <row r="57" spans="1:3" x14ac:dyDescent="0.2">
      <c r="A57" s="3" t="s">
        <v>34</v>
      </c>
      <c r="B57" s="3">
        <v>0.47804999999999997</v>
      </c>
      <c r="C57" s="3">
        <v>0.97591000000000006</v>
      </c>
    </row>
    <row r="58" spans="1:3" x14ac:dyDescent="0.2">
      <c r="A58" s="3" t="s">
        <v>30</v>
      </c>
      <c r="B58" s="3">
        <v>0.47665000000000002</v>
      </c>
      <c r="C58" s="3">
        <v>0.98619000000000001</v>
      </c>
    </row>
    <row r="59" spans="1:3" x14ac:dyDescent="0.2">
      <c r="A59" s="3" t="s">
        <v>199</v>
      </c>
      <c r="B59" s="3">
        <v>0.38696999999999998</v>
      </c>
      <c r="C59" s="3">
        <v>0.98187000000000002</v>
      </c>
    </row>
    <row r="60" spans="1:3" x14ac:dyDescent="0.2">
      <c r="A60" s="3" t="s">
        <v>267</v>
      </c>
      <c r="B60" s="3">
        <v>0.38114999999999999</v>
      </c>
      <c r="C60" s="3">
        <v>0.91452</v>
      </c>
    </row>
    <row r="61" spans="1:3" x14ac:dyDescent="0.2">
      <c r="A61" s="3" t="s">
        <v>121</v>
      </c>
      <c r="B61" s="3">
        <v>0.20608000000000001</v>
      </c>
      <c r="C61" s="3">
        <v>0.46226</v>
      </c>
    </row>
    <row r="62" spans="1:3" x14ac:dyDescent="0.2">
      <c r="A62" s="3" t="s">
        <v>70</v>
      </c>
      <c r="B62" s="3">
        <v>0.66752999999999996</v>
      </c>
      <c r="C62" s="3">
        <v>0.98050999999999999</v>
      </c>
    </row>
    <row r="63" spans="1:3" x14ac:dyDescent="0.2">
      <c r="A63" s="3" t="s">
        <v>74</v>
      </c>
      <c r="B63" s="3">
        <v>0.66747999999999996</v>
      </c>
      <c r="C63" s="3">
        <v>0.98724999999999996</v>
      </c>
    </row>
    <row r="64" spans="1:3" x14ac:dyDescent="0.2">
      <c r="A64" s="3" t="s">
        <v>111</v>
      </c>
      <c r="B64" s="3">
        <v>0.5675</v>
      </c>
      <c r="C64" s="3">
        <v>0.75146000000000002</v>
      </c>
    </row>
    <row r="65" spans="1:3" x14ac:dyDescent="0.2">
      <c r="A65" s="3" t="s">
        <v>49</v>
      </c>
      <c r="B65" s="3">
        <v>0.47844999999999999</v>
      </c>
      <c r="C65" s="3">
        <v>0.77010000000000001</v>
      </c>
    </row>
    <row r="66" spans="1:3" x14ac:dyDescent="0.2">
      <c r="A66" s="3" t="s">
        <v>45</v>
      </c>
      <c r="B66" s="3">
        <v>0.24790999999999999</v>
      </c>
      <c r="C66" s="3">
        <v>0.72843000000000002</v>
      </c>
    </row>
    <row r="67" spans="1:3" x14ac:dyDescent="0.2">
      <c r="A67" s="3" t="s">
        <v>321</v>
      </c>
      <c r="B67" s="3">
        <v>0.50146999999999997</v>
      </c>
      <c r="C67" s="3">
        <v>0.91274</v>
      </c>
    </row>
    <row r="68" spans="1:3" x14ac:dyDescent="0.2">
      <c r="A68" s="3" t="s">
        <v>210</v>
      </c>
      <c r="B68" s="3">
        <v>0.25747999999999999</v>
      </c>
      <c r="C68" s="3">
        <v>0.98821000000000003</v>
      </c>
    </row>
    <row r="69" spans="1:3" x14ac:dyDescent="0.2">
      <c r="A69" s="3" t="s">
        <v>124</v>
      </c>
      <c r="B69" s="3">
        <v>0.73416999999999999</v>
      </c>
      <c r="C69" s="3">
        <v>0.96394999999999997</v>
      </c>
    </row>
    <row r="70" spans="1:3" x14ac:dyDescent="0.2">
      <c r="A70" s="3" t="s">
        <v>239</v>
      </c>
      <c r="B70" s="3">
        <v>0.27176</v>
      </c>
      <c r="C70" s="3">
        <v>0.95801999999999998</v>
      </c>
    </row>
    <row r="71" spans="1:3" x14ac:dyDescent="0.2">
      <c r="A71" s="3" t="s">
        <v>273</v>
      </c>
      <c r="B71" s="3">
        <v>0.74278999999999995</v>
      </c>
      <c r="C71" s="3">
        <v>0.94513000000000003</v>
      </c>
    </row>
    <row r="72" spans="1:3" x14ac:dyDescent="0.2">
      <c r="A72" s="3" t="s">
        <v>314</v>
      </c>
      <c r="B72" s="3">
        <v>0.23483000000000001</v>
      </c>
      <c r="C72" s="3">
        <v>0.53358000000000005</v>
      </c>
    </row>
    <row r="73" spans="1:3" x14ac:dyDescent="0.2">
      <c r="A73" s="3" t="s">
        <v>309</v>
      </c>
      <c r="B73" s="3">
        <v>0.42888999999999999</v>
      </c>
      <c r="C73" s="3">
        <v>0.66342000000000001</v>
      </c>
    </row>
    <row r="74" spans="1:3" x14ac:dyDescent="0.2">
      <c r="A74" s="3" t="s">
        <v>114</v>
      </c>
      <c r="B74" s="3">
        <v>0.74897999999999998</v>
      </c>
      <c r="C74" s="3">
        <v>0.97114999999999996</v>
      </c>
    </row>
    <row r="75" spans="1:3" x14ac:dyDescent="0.2">
      <c r="A75" s="3" t="s">
        <v>61</v>
      </c>
      <c r="B75" s="3">
        <v>0.22026000000000001</v>
      </c>
      <c r="C75" s="3">
        <v>0.98836000000000002</v>
      </c>
    </row>
    <row r="76" spans="1:3" x14ac:dyDescent="0.2">
      <c r="A76" s="3" t="s">
        <v>163</v>
      </c>
      <c r="B76" s="3">
        <v>0.28982000000000002</v>
      </c>
      <c r="C76" s="3">
        <v>0.98528000000000004</v>
      </c>
    </row>
    <row r="77" spans="1:3" x14ac:dyDescent="0.2">
      <c r="A77" s="3" t="s">
        <v>263</v>
      </c>
      <c r="B77" s="3">
        <v>0.54527999999999999</v>
      </c>
      <c r="C77" s="3">
        <v>0.90281</v>
      </c>
    </row>
    <row r="78" spans="1:3" x14ac:dyDescent="0.2">
      <c r="A78" s="3" t="s">
        <v>256</v>
      </c>
      <c r="B78" s="3">
        <v>0.52022000000000002</v>
      </c>
      <c r="C78" s="3">
        <v>0.93171000000000004</v>
      </c>
    </row>
    <row r="79" spans="1:3" x14ac:dyDescent="0.2">
      <c r="A79" s="3" t="s">
        <v>94</v>
      </c>
      <c r="B79" s="3">
        <v>0.59402999999999995</v>
      </c>
      <c r="C79" s="3">
        <v>0.97214</v>
      </c>
    </row>
    <row r="80" spans="1:3" x14ac:dyDescent="0.2">
      <c r="A80" s="3" t="s">
        <v>277</v>
      </c>
      <c r="B80" s="3">
        <v>0.42716999999999999</v>
      </c>
      <c r="C80" s="3">
        <v>0.58237000000000005</v>
      </c>
    </row>
    <row r="81" spans="1:3" x14ac:dyDescent="0.2">
      <c r="A81" s="4" t="s">
        <v>236</v>
      </c>
      <c r="B81" s="4">
        <v>0.42559000000000002</v>
      </c>
      <c r="C81" s="4">
        <v>0.60834999999999995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F6BD-D6F7-8E42-AEE9-5D820B8E036D}">
  <sheetPr filterMode="1"/>
  <dimension ref="B6:E109"/>
  <sheetViews>
    <sheetView topLeftCell="A84" workbookViewId="0">
      <selection activeCell="E7" sqref="E7:E87"/>
    </sheetView>
  </sheetViews>
  <sheetFormatPr baseColWidth="10" defaultRowHeight="16" x14ac:dyDescent="0.2"/>
  <sheetData>
    <row r="6" spans="2:5" x14ac:dyDescent="0.2">
      <c r="B6" t="s">
        <v>2</v>
      </c>
      <c r="C6" t="s">
        <v>7</v>
      </c>
    </row>
    <row r="7" spans="2:5" x14ac:dyDescent="0.2">
      <c r="B7" t="s">
        <v>13</v>
      </c>
      <c r="C7">
        <v>1</v>
      </c>
      <c r="E7" t="s">
        <v>13</v>
      </c>
    </row>
    <row r="8" spans="2:5" hidden="1" x14ac:dyDescent="0.2">
      <c r="B8" t="s">
        <v>18</v>
      </c>
      <c r="C8">
        <v>0</v>
      </c>
      <c r="E8" t="s">
        <v>21</v>
      </c>
    </row>
    <row r="9" spans="2:5" x14ac:dyDescent="0.2">
      <c r="B9" t="s">
        <v>21</v>
      </c>
      <c r="C9">
        <v>1</v>
      </c>
      <c r="E9" t="s">
        <v>25</v>
      </c>
    </row>
    <row r="10" spans="2:5" x14ac:dyDescent="0.2">
      <c r="B10" t="s">
        <v>25</v>
      </c>
      <c r="C10">
        <v>1</v>
      </c>
      <c r="E10" t="s">
        <v>30</v>
      </c>
    </row>
    <row r="11" spans="2:5" x14ac:dyDescent="0.2">
      <c r="B11" t="s">
        <v>30</v>
      </c>
      <c r="C11">
        <v>1</v>
      </c>
      <c r="E11" t="s">
        <v>34</v>
      </c>
    </row>
    <row r="12" spans="2:5" x14ac:dyDescent="0.2">
      <c r="B12" t="s">
        <v>34</v>
      </c>
      <c r="C12">
        <v>1</v>
      </c>
      <c r="E12" t="s">
        <v>36</v>
      </c>
    </row>
    <row r="13" spans="2:5" x14ac:dyDescent="0.2">
      <c r="B13" t="s">
        <v>36</v>
      </c>
      <c r="C13">
        <v>1</v>
      </c>
      <c r="E13" t="s">
        <v>40</v>
      </c>
    </row>
    <row r="14" spans="2:5" x14ac:dyDescent="0.2">
      <c r="B14" t="s">
        <v>40</v>
      </c>
      <c r="C14">
        <v>1</v>
      </c>
      <c r="E14" t="s">
        <v>43</v>
      </c>
    </row>
    <row r="15" spans="2:5" x14ac:dyDescent="0.2">
      <c r="B15" t="s">
        <v>43</v>
      </c>
      <c r="C15">
        <v>1</v>
      </c>
      <c r="E15" t="s">
        <v>45</v>
      </c>
    </row>
    <row r="16" spans="2:5" x14ac:dyDescent="0.2">
      <c r="B16" t="s">
        <v>45</v>
      </c>
      <c r="C16">
        <v>1</v>
      </c>
      <c r="E16" t="s">
        <v>49</v>
      </c>
    </row>
    <row r="17" spans="2:5" x14ac:dyDescent="0.2">
      <c r="B17" t="s">
        <v>49</v>
      </c>
      <c r="C17">
        <v>1</v>
      </c>
      <c r="E17" t="s">
        <v>51</v>
      </c>
    </row>
    <row r="18" spans="2:5" x14ac:dyDescent="0.2">
      <c r="B18" t="s">
        <v>51</v>
      </c>
      <c r="C18">
        <v>1</v>
      </c>
      <c r="E18" t="s">
        <v>53</v>
      </c>
    </row>
    <row r="19" spans="2:5" x14ac:dyDescent="0.2">
      <c r="B19" t="s">
        <v>53</v>
      </c>
      <c r="C19">
        <v>1</v>
      </c>
      <c r="E19" t="s">
        <v>57</v>
      </c>
    </row>
    <row r="20" spans="2:5" x14ac:dyDescent="0.2">
      <c r="B20" t="s">
        <v>57</v>
      </c>
      <c r="C20">
        <v>1</v>
      </c>
      <c r="E20" t="s">
        <v>61</v>
      </c>
    </row>
    <row r="21" spans="2:5" x14ac:dyDescent="0.2">
      <c r="B21" t="s">
        <v>61</v>
      </c>
      <c r="C21">
        <v>1</v>
      </c>
      <c r="E21" t="s">
        <v>64</v>
      </c>
    </row>
    <row r="22" spans="2:5" x14ac:dyDescent="0.2">
      <c r="B22" t="s">
        <v>64</v>
      </c>
      <c r="C22">
        <v>1</v>
      </c>
      <c r="E22" t="s">
        <v>70</v>
      </c>
    </row>
    <row r="23" spans="2:5" hidden="1" x14ac:dyDescent="0.2">
      <c r="B23" t="s">
        <v>67</v>
      </c>
      <c r="C23">
        <v>0</v>
      </c>
      <c r="E23" t="s">
        <v>74</v>
      </c>
    </row>
    <row r="24" spans="2:5" x14ac:dyDescent="0.2">
      <c r="B24" t="s">
        <v>70</v>
      </c>
      <c r="C24">
        <v>1</v>
      </c>
      <c r="E24" t="s">
        <v>76</v>
      </c>
    </row>
    <row r="25" spans="2:5" x14ac:dyDescent="0.2">
      <c r="B25" t="s">
        <v>74</v>
      </c>
      <c r="C25">
        <v>1</v>
      </c>
      <c r="E25" t="s">
        <v>81</v>
      </c>
    </row>
    <row r="26" spans="2:5" x14ac:dyDescent="0.2">
      <c r="B26" t="s">
        <v>76</v>
      </c>
      <c r="C26">
        <v>1</v>
      </c>
      <c r="E26" t="s">
        <v>84</v>
      </c>
    </row>
    <row r="27" spans="2:5" x14ac:dyDescent="0.2">
      <c r="B27" t="s">
        <v>81</v>
      </c>
      <c r="C27">
        <v>1</v>
      </c>
      <c r="E27" t="s">
        <v>88</v>
      </c>
    </row>
    <row r="28" spans="2:5" x14ac:dyDescent="0.2">
      <c r="B28" t="s">
        <v>84</v>
      </c>
      <c r="C28">
        <v>1</v>
      </c>
      <c r="E28" t="s">
        <v>89</v>
      </c>
    </row>
    <row r="29" spans="2:5" x14ac:dyDescent="0.2">
      <c r="B29" t="s">
        <v>88</v>
      </c>
      <c r="C29">
        <v>1</v>
      </c>
      <c r="E29" t="s">
        <v>92</v>
      </c>
    </row>
    <row r="30" spans="2:5" x14ac:dyDescent="0.2">
      <c r="B30" t="s">
        <v>89</v>
      </c>
      <c r="C30">
        <v>1</v>
      </c>
      <c r="E30" t="s">
        <v>94</v>
      </c>
    </row>
    <row r="31" spans="2:5" x14ac:dyDescent="0.2">
      <c r="B31" t="s">
        <v>92</v>
      </c>
      <c r="C31">
        <v>1</v>
      </c>
      <c r="E31" t="s">
        <v>102</v>
      </c>
    </row>
    <row r="32" spans="2:5" x14ac:dyDescent="0.2">
      <c r="B32" t="s">
        <v>94</v>
      </c>
      <c r="C32">
        <v>1</v>
      </c>
      <c r="E32" t="s">
        <v>105</v>
      </c>
    </row>
    <row r="33" spans="2:5" hidden="1" x14ac:dyDescent="0.2">
      <c r="B33" t="s">
        <v>98</v>
      </c>
      <c r="C33">
        <v>0</v>
      </c>
      <c r="E33" t="s">
        <v>108</v>
      </c>
    </row>
    <row r="34" spans="2:5" x14ac:dyDescent="0.2">
      <c r="B34" t="s">
        <v>102</v>
      </c>
      <c r="C34">
        <v>1</v>
      </c>
      <c r="E34" t="s">
        <v>111</v>
      </c>
    </row>
    <row r="35" spans="2:5" x14ac:dyDescent="0.2">
      <c r="B35" t="s">
        <v>105</v>
      </c>
      <c r="C35">
        <v>1</v>
      </c>
      <c r="E35" t="s">
        <v>114</v>
      </c>
    </row>
    <row r="36" spans="2:5" x14ac:dyDescent="0.2">
      <c r="B36" t="s">
        <v>108</v>
      </c>
      <c r="C36">
        <v>1</v>
      </c>
      <c r="E36" t="s">
        <v>118</v>
      </c>
    </row>
    <row r="37" spans="2:5" x14ac:dyDescent="0.2">
      <c r="B37" t="s">
        <v>111</v>
      </c>
      <c r="C37">
        <v>1</v>
      </c>
      <c r="E37" t="s">
        <v>121</v>
      </c>
    </row>
    <row r="38" spans="2:5" x14ac:dyDescent="0.2">
      <c r="B38" t="s">
        <v>114</v>
      </c>
      <c r="C38">
        <v>1</v>
      </c>
      <c r="E38" t="s">
        <v>124</v>
      </c>
    </row>
    <row r="39" spans="2:5" x14ac:dyDescent="0.2">
      <c r="B39" t="s">
        <v>118</v>
      </c>
      <c r="C39">
        <v>1</v>
      </c>
      <c r="E39" t="s">
        <v>128</v>
      </c>
    </row>
    <row r="40" spans="2:5" x14ac:dyDescent="0.2">
      <c r="B40" t="s">
        <v>121</v>
      </c>
      <c r="C40">
        <v>1</v>
      </c>
      <c r="E40" t="s">
        <v>135</v>
      </c>
    </row>
    <row r="41" spans="2:5" x14ac:dyDescent="0.2">
      <c r="B41" t="s">
        <v>124</v>
      </c>
      <c r="C41">
        <v>1</v>
      </c>
      <c r="E41" t="s">
        <v>138</v>
      </c>
    </row>
    <row r="42" spans="2:5" x14ac:dyDescent="0.2">
      <c r="B42" t="s">
        <v>128</v>
      </c>
      <c r="C42">
        <v>1</v>
      </c>
      <c r="E42" t="s">
        <v>142</v>
      </c>
    </row>
    <row r="43" spans="2:5" hidden="1" x14ac:dyDescent="0.2">
      <c r="B43" t="s">
        <v>131</v>
      </c>
      <c r="C43">
        <v>0</v>
      </c>
      <c r="E43" t="s">
        <v>150</v>
      </c>
    </row>
    <row r="44" spans="2:5" x14ac:dyDescent="0.2">
      <c r="B44" t="s">
        <v>135</v>
      </c>
      <c r="C44">
        <v>1</v>
      </c>
      <c r="E44" t="s">
        <v>153</v>
      </c>
    </row>
    <row r="45" spans="2:5" x14ac:dyDescent="0.2">
      <c r="B45" t="s">
        <v>138</v>
      </c>
      <c r="C45">
        <v>1</v>
      </c>
      <c r="E45" t="s">
        <v>158</v>
      </c>
    </row>
    <row r="46" spans="2:5" x14ac:dyDescent="0.2">
      <c r="B46" t="s">
        <v>142</v>
      </c>
      <c r="C46">
        <v>1</v>
      </c>
      <c r="E46" t="s">
        <v>162</v>
      </c>
    </row>
    <row r="47" spans="2:5" hidden="1" x14ac:dyDescent="0.2">
      <c r="B47" t="s">
        <v>146</v>
      </c>
      <c r="C47">
        <v>0</v>
      </c>
      <c r="E47" t="s">
        <v>163</v>
      </c>
    </row>
    <row r="48" spans="2:5" x14ac:dyDescent="0.2">
      <c r="B48" t="s">
        <v>150</v>
      </c>
      <c r="C48">
        <v>1</v>
      </c>
      <c r="E48" t="s">
        <v>168</v>
      </c>
    </row>
    <row r="49" spans="2:5" x14ac:dyDescent="0.2">
      <c r="B49" t="s">
        <v>153</v>
      </c>
      <c r="C49">
        <v>1</v>
      </c>
      <c r="E49" t="s">
        <v>172</v>
      </c>
    </row>
    <row r="50" spans="2:5" hidden="1" x14ac:dyDescent="0.2">
      <c r="B50" t="s">
        <v>155</v>
      </c>
      <c r="C50">
        <v>0</v>
      </c>
      <c r="E50" t="s">
        <v>178</v>
      </c>
    </row>
    <row r="51" spans="2:5" hidden="1" x14ac:dyDescent="0.2">
      <c r="B51" t="s">
        <v>157</v>
      </c>
      <c r="C51">
        <v>0</v>
      </c>
      <c r="E51" t="s">
        <v>179</v>
      </c>
    </row>
    <row r="52" spans="2:5" x14ac:dyDescent="0.2">
      <c r="B52" t="s">
        <v>158</v>
      </c>
      <c r="C52">
        <v>1</v>
      </c>
      <c r="E52" t="s">
        <v>182</v>
      </c>
    </row>
    <row r="53" spans="2:5" hidden="1" x14ac:dyDescent="0.2">
      <c r="B53" t="s">
        <v>159</v>
      </c>
      <c r="C53">
        <v>0</v>
      </c>
      <c r="E53" t="s">
        <v>186</v>
      </c>
    </row>
    <row r="54" spans="2:5" x14ac:dyDescent="0.2">
      <c r="B54" t="s">
        <v>162</v>
      </c>
      <c r="C54">
        <v>1</v>
      </c>
      <c r="E54" t="s">
        <v>189</v>
      </c>
    </row>
    <row r="55" spans="2:5" x14ac:dyDescent="0.2">
      <c r="B55" t="s">
        <v>163</v>
      </c>
      <c r="C55">
        <v>1</v>
      </c>
      <c r="E55" t="s">
        <v>193</v>
      </c>
    </row>
    <row r="56" spans="2:5" hidden="1" x14ac:dyDescent="0.2">
      <c r="B56" t="s">
        <v>165</v>
      </c>
      <c r="C56">
        <v>0</v>
      </c>
      <c r="E56" t="s">
        <v>199</v>
      </c>
    </row>
    <row r="57" spans="2:5" x14ac:dyDescent="0.2">
      <c r="B57" t="s">
        <v>168</v>
      </c>
      <c r="C57">
        <v>1</v>
      </c>
      <c r="E57" t="s">
        <v>202</v>
      </c>
    </row>
    <row r="58" spans="2:5" x14ac:dyDescent="0.2">
      <c r="B58" t="s">
        <v>172</v>
      </c>
      <c r="C58">
        <v>1</v>
      </c>
      <c r="E58" t="s">
        <v>210</v>
      </c>
    </row>
    <row r="59" spans="2:5" hidden="1" x14ac:dyDescent="0.2">
      <c r="B59" t="s">
        <v>176</v>
      </c>
      <c r="C59">
        <v>0</v>
      </c>
      <c r="E59" t="s">
        <v>211</v>
      </c>
    </row>
    <row r="60" spans="2:5" x14ac:dyDescent="0.2">
      <c r="B60" t="s">
        <v>178</v>
      </c>
      <c r="C60">
        <v>1</v>
      </c>
      <c r="E60" t="s">
        <v>215</v>
      </c>
    </row>
    <row r="61" spans="2:5" x14ac:dyDescent="0.2">
      <c r="B61" t="s">
        <v>179</v>
      </c>
      <c r="C61">
        <v>1</v>
      </c>
      <c r="E61" t="s">
        <v>223</v>
      </c>
    </row>
    <row r="62" spans="2:5" x14ac:dyDescent="0.2">
      <c r="B62" t="s">
        <v>182</v>
      </c>
      <c r="C62">
        <v>1</v>
      </c>
      <c r="E62" t="s">
        <v>229</v>
      </c>
    </row>
    <row r="63" spans="2:5" x14ac:dyDescent="0.2">
      <c r="B63" t="s">
        <v>186</v>
      </c>
      <c r="C63">
        <v>1</v>
      </c>
      <c r="E63" t="s">
        <v>236</v>
      </c>
    </row>
    <row r="64" spans="2:5" x14ac:dyDescent="0.2">
      <c r="B64" t="s">
        <v>189</v>
      </c>
      <c r="C64">
        <v>1</v>
      </c>
      <c r="E64" t="s">
        <v>239</v>
      </c>
    </row>
    <row r="65" spans="2:5" x14ac:dyDescent="0.2">
      <c r="B65" t="s">
        <v>193</v>
      </c>
      <c r="C65">
        <v>1</v>
      </c>
      <c r="E65" t="s">
        <v>243</v>
      </c>
    </row>
    <row r="66" spans="2:5" hidden="1" x14ac:dyDescent="0.2">
      <c r="B66" t="s">
        <v>196</v>
      </c>
      <c r="C66">
        <v>0</v>
      </c>
      <c r="E66" t="s">
        <v>253</v>
      </c>
    </row>
    <row r="67" spans="2:5" x14ac:dyDescent="0.2">
      <c r="B67" t="s">
        <v>199</v>
      </c>
      <c r="C67">
        <v>1</v>
      </c>
      <c r="E67" t="s">
        <v>256</v>
      </c>
    </row>
    <row r="68" spans="2:5" x14ac:dyDescent="0.2">
      <c r="B68" t="s">
        <v>202</v>
      </c>
      <c r="C68">
        <v>1</v>
      </c>
      <c r="E68" t="s">
        <v>263</v>
      </c>
    </row>
    <row r="69" spans="2:5" hidden="1" x14ac:dyDescent="0.2">
      <c r="B69" t="s">
        <v>206</v>
      </c>
      <c r="C69">
        <v>0</v>
      </c>
      <c r="E69" t="s">
        <v>267</v>
      </c>
    </row>
    <row r="70" spans="2:5" x14ac:dyDescent="0.2">
      <c r="B70" t="s">
        <v>210</v>
      </c>
      <c r="C70">
        <v>1</v>
      </c>
      <c r="E70" t="s">
        <v>268</v>
      </c>
    </row>
    <row r="71" spans="2:5" x14ac:dyDescent="0.2">
      <c r="B71" t="s">
        <v>211</v>
      </c>
      <c r="C71">
        <v>1</v>
      </c>
      <c r="E71" t="s">
        <v>271</v>
      </c>
    </row>
    <row r="72" spans="2:5" x14ac:dyDescent="0.2">
      <c r="B72" t="s">
        <v>215</v>
      </c>
      <c r="C72">
        <v>1</v>
      </c>
      <c r="E72" t="s">
        <v>272</v>
      </c>
    </row>
    <row r="73" spans="2:5" hidden="1" x14ac:dyDescent="0.2">
      <c r="B73" t="s">
        <v>219</v>
      </c>
      <c r="C73">
        <v>0</v>
      </c>
      <c r="E73" t="s">
        <v>273</v>
      </c>
    </row>
    <row r="74" spans="2:5" x14ac:dyDescent="0.2">
      <c r="B74" t="s">
        <v>223</v>
      </c>
      <c r="C74">
        <v>1</v>
      </c>
      <c r="E74" t="s">
        <v>277</v>
      </c>
    </row>
    <row r="75" spans="2:5" hidden="1" x14ac:dyDescent="0.2">
      <c r="B75" t="s">
        <v>226</v>
      </c>
      <c r="C75">
        <v>0</v>
      </c>
      <c r="E75" t="s">
        <v>281</v>
      </c>
    </row>
    <row r="76" spans="2:5" x14ac:dyDescent="0.2">
      <c r="B76" t="s">
        <v>229</v>
      </c>
      <c r="C76">
        <v>1</v>
      </c>
      <c r="E76" t="s">
        <v>284</v>
      </c>
    </row>
    <row r="77" spans="2:5" hidden="1" x14ac:dyDescent="0.2">
      <c r="B77" t="s">
        <v>233</v>
      </c>
      <c r="C77">
        <v>0</v>
      </c>
      <c r="E77" t="s">
        <v>286</v>
      </c>
    </row>
    <row r="78" spans="2:5" x14ac:dyDescent="0.2">
      <c r="B78" t="s">
        <v>236</v>
      </c>
      <c r="C78">
        <v>1</v>
      </c>
      <c r="E78" t="s">
        <v>289</v>
      </c>
    </row>
    <row r="79" spans="2:5" x14ac:dyDescent="0.2">
      <c r="B79" t="s">
        <v>239</v>
      </c>
      <c r="C79">
        <v>1</v>
      </c>
      <c r="E79" t="s">
        <v>292</v>
      </c>
    </row>
    <row r="80" spans="2:5" x14ac:dyDescent="0.2">
      <c r="B80" t="s">
        <v>243</v>
      </c>
      <c r="C80">
        <v>1</v>
      </c>
      <c r="E80" t="s">
        <v>296</v>
      </c>
    </row>
    <row r="81" spans="2:5" hidden="1" x14ac:dyDescent="0.2">
      <c r="B81" t="s">
        <v>245</v>
      </c>
      <c r="C81">
        <v>0</v>
      </c>
      <c r="E81" t="s">
        <v>299</v>
      </c>
    </row>
    <row r="82" spans="2:5" hidden="1" x14ac:dyDescent="0.2">
      <c r="B82" t="s">
        <v>248</v>
      </c>
      <c r="C82">
        <v>0</v>
      </c>
      <c r="E82" t="s">
        <v>301</v>
      </c>
    </row>
    <row r="83" spans="2:5" x14ac:dyDescent="0.2">
      <c r="B83" t="s">
        <v>253</v>
      </c>
      <c r="C83">
        <v>1</v>
      </c>
      <c r="E83" t="s">
        <v>303</v>
      </c>
    </row>
    <row r="84" spans="2:5" x14ac:dyDescent="0.2">
      <c r="B84" t="s">
        <v>256</v>
      </c>
      <c r="C84">
        <v>1</v>
      </c>
      <c r="E84" t="s">
        <v>309</v>
      </c>
    </row>
    <row r="85" spans="2:5" hidden="1" x14ac:dyDescent="0.2">
      <c r="B85" t="s">
        <v>259</v>
      </c>
      <c r="C85">
        <v>0</v>
      </c>
      <c r="E85" t="s">
        <v>311</v>
      </c>
    </row>
    <row r="86" spans="2:5" x14ac:dyDescent="0.2">
      <c r="B86" t="s">
        <v>263</v>
      </c>
      <c r="C86">
        <v>1</v>
      </c>
      <c r="E86" t="s">
        <v>314</v>
      </c>
    </row>
    <row r="87" spans="2:5" hidden="1" x14ac:dyDescent="0.2">
      <c r="B87" t="s">
        <v>265</v>
      </c>
      <c r="C87">
        <v>0</v>
      </c>
      <c r="E87" t="s">
        <v>321</v>
      </c>
    </row>
    <row r="88" spans="2:5" x14ac:dyDescent="0.2">
      <c r="B88" t="s">
        <v>267</v>
      </c>
      <c r="C88">
        <v>1</v>
      </c>
    </row>
    <row r="89" spans="2:5" x14ac:dyDescent="0.2">
      <c r="B89" t="s">
        <v>268</v>
      </c>
      <c r="C89">
        <v>1</v>
      </c>
    </row>
    <row r="90" spans="2:5" x14ac:dyDescent="0.2">
      <c r="B90" t="s">
        <v>271</v>
      </c>
      <c r="C90">
        <v>1</v>
      </c>
    </row>
    <row r="91" spans="2:5" x14ac:dyDescent="0.2">
      <c r="B91" t="s">
        <v>272</v>
      </c>
      <c r="C91">
        <v>1</v>
      </c>
    </row>
    <row r="92" spans="2:5" x14ac:dyDescent="0.2">
      <c r="B92" t="s">
        <v>273</v>
      </c>
      <c r="C92">
        <v>1</v>
      </c>
    </row>
    <row r="93" spans="2:5" x14ac:dyDescent="0.2">
      <c r="B93" t="s">
        <v>277</v>
      </c>
      <c r="C93">
        <v>1</v>
      </c>
    </row>
    <row r="94" spans="2:5" x14ac:dyDescent="0.2">
      <c r="B94" t="s">
        <v>281</v>
      </c>
      <c r="C94">
        <v>1</v>
      </c>
    </row>
    <row r="95" spans="2:5" x14ac:dyDescent="0.2">
      <c r="B95" t="s">
        <v>284</v>
      </c>
      <c r="C95">
        <v>1</v>
      </c>
    </row>
    <row r="96" spans="2:5" x14ac:dyDescent="0.2">
      <c r="B96" t="s">
        <v>286</v>
      </c>
      <c r="C96">
        <v>1</v>
      </c>
    </row>
    <row r="97" spans="2:3" x14ac:dyDescent="0.2">
      <c r="B97" t="s">
        <v>289</v>
      </c>
      <c r="C97">
        <v>1</v>
      </c>
    </row>
    <row r="98" spans="2:3" hidden="1" x14ac:dyDescent="0.2">
      <c r="B98" t="s">
        <v>291</v>
      </c>
      <c r="C98">
        <v>0</v>
      </c>
    </row>
    <row r="99" spans="2:3" x14ac:dyDescent="0.2">
      <c r="B99" t="s">
        <v>292</v>
      </c>
      <c r="C99">
        <v>1</v>
      </c>
    </row>
    <row r="100" spans="2:3" x14ac:dyDescent="0.2">
      <c r="B100" t="s">
        <v>296</v>
      </c>
      <c r="C100">
        <v>1</v>
      </c>
    </row>
    <row r="101" spans="2:3" x14ac:dyDescent="0.2">
      <c r="B101" t="s">
        <v>299</v>
      </c>
      <c r="C101">
        <v>1</v>
      </c>
    </row>
    <row r="102" spans="2:3" x14ac:dyDescent="0.2">
      <c r="B102" t="s">
        <v>301</v>
      </c>
      <c r="C102">
        <v>1</v>
      </c>
    </row>
    <row r="103" spans="2:3" x14ac:dyDescent="0.2">
      <c r="B103" t="s">
        <v>303</v>
      </c>
      <c r="C103">
        <v>1</v>
      </c>
    </row>
    <row r="104" spans="2:3" hidden="1" x14ac:dyDescent="0.2">
      <c r="B104" t="s">
        <v>306</v>
      </c>
      <c r="C104">
        <v>0</v>
      </c>
    </row>
    <row r="105" spans="2:3" x14ac:dyDescent="0.2">
      <c r="B105" t="s">
        <v>309</v>
      </c>
      <c r="C105">
        <v>1</v>
      </c>
    </row>
    <row r="106" spans="2:3" x14ac:dyDescent="0.2">
      <c r="B106" t="s">
        <v>311</v>
      </c>
      <c r="C106">
        <v>1</v>
      </c>
    </row>
    <row r="107" spans="2:3" x14ac:dyDescent="0.2">
      <c r="B107" t="s">
        <v>314</v>
      </c>
      <c r="C107">
        <v>1</v>
      </c>
    </row>
    <row r="108" spans="2:3" hidden="1" x14ac:dyDescent="0.2">
      <c r="B108" t="s">
        <v>317</v>
      </c>
      <c r="C108">
        <v>0</v>
      </c>
    </row>
    <row r="109" spans="2:3" x14ac:dyDescent="0.2">
      <c r="B109" t="s">
        <v>321</v>
      </c>
      <c r="C109">
        <v>1</v>
      </c>
    </row>
  </sheetData>
  <autoFilter ref="B6:C109" xr:uid="{F3E0F6BD-D6F7-8E42-AEE9-5D820B8E036D}">
    <filterColumn colId="1">
      <filters>
        <filter val="1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C1EF-7097-3A44-A36E-AD5B79FF3E7D}">
  <dimension ref="B5:D84"/>
  <sheetViews>
    <sheetView zoomScale="158" workbookViewId="0">
      <selection activeCell="D84" sqref="B83:D84"/>
    </sheetView>
  </sheetViews>
  <sheetFormatPr baseColWidth="10" defaultRowHeight="16" x14ac:dyDescent="0.2"/>
  <sheetData>
    <row r="5" spans="2:4" x14ac:dyDescent="0.2">
      <c r="B5" s="5" t="s">
        <v>495</v>
      </c>
      <c r="C5" s="5" t="s">
        <v>493</v>
      </c>
      <c r="D5" s="5" t="s">
        <v>494</v>
      </c>
    </row>
    <row r="6" spans="2:4" x14ac:dyDescent="0.2">
      <c r="B6" t="s">
        <v>135</v>
      </c>
      <c r="C6">
        <v>0</v>
      </c>
      <c r="D6">
        <v>0.74863999999999997</v>
      </c>
    </row>
    <row r="7" spans="2:4" x14ac:dyDescent="0.2">
      <c r="B7" t="s">
        <v>13</v>
      </c>
      <c r="C7">
        <v>0.99131000000000002</v>
      </c>
      <c r="D7">
        <v>0.99351</v>
      </c>
    </row>
    <row r="8" spans="2:4" x14ac:dyDescent="0.2">
      <c r="B8" t="s">
        <v>138</v>
      </c>
      <c r="C8">
        <v>0.96206999999999998</v>
      </c>
      <c r="D8">
        <v>0.93700000000000006</v>
      </c>
    </row>
    <row r="9" spans="2:4" x14ac:dyDescent="0.2">
      <c r="B9" t="s">
        <v>25</v>
      </c>
      <c r="C9">
        <v>0.96011999999999997</v>
      </c>
      <c r="D9">
        <v>0.97702</v>
      </c>
    </row>
    <row r="10" spans="2:4" x14ac:dyDescent="0.2">
      <c r="B10" t="s">
        <v>178</v>
      </c>
      <c r="C10">
        <v>0.82730000000000004</v>
      </c>
      <c r="D10">
        <v>0.95564000000000004</v>
      </c>
    </row>
    <row r="11" spans="2:4" x14ac:dyDescent="0.2">
      <c r="B11" t="s">
        <v>51</v>
      </c>
      <c r="C11">
        <v>0.77305999999999997</v>
      </c>
      <c r="D11">
        <v>0.78280000000000005</v>
      </c>
    </row>
    <row r="12" spans="2:4" x14ac:dyDescent="0.2">
      <c r="B12" t="s">
        <v>268</v>
      </c>
      <c r="C12">
        <v>0.75200999999999996</v>
      </c>
      <c r="D12">
        <v>0.83352999999999999</v>
      </c>
    </row>
    <row r="13" spans="2:4" x14ac:dyDescent="0.2">
      <c r="B13" t="s">
        <v>172</v>
      </c>
      <c r="C13">
        <v>0.73097000000000001</v>
      </c>
      <c r="D13">
        <v>0.88407999999999998</v>
      </c>
    </row>
    <row r="14" spans="2:4" x14ac:dyDescent="0.2">
      <c r="B14" t="s">
        <v>271</v>
      </c>
      <c r="C14">
        <v>0.61499999999999999</v>
      </c>
      <c r="D14">
        <v>0.78783999999999998</v>
      </c>
    </row>
    <row r="15" spans="2:4" x14ac:dyDescent="0.2">
      <c r="B15" t="s">
        <v>53</v>
      </c>
      <c r="C15">
        <v>0.57696000000000003</v>
      </c>
      <c r="D15">
        <v>0.62495000000000001</v>
      </c>
    </row>
    <row r="16" spans="2:4" x14ac:dyDescent="0.2">
      <c r="B16" t="s">
        <v>43</v>
      </c>
      <c r="C16">
        <v>0.48946000000000001</v>
      </c>
      <c r="D16">
        <v>0.89207999999999998</v>
      </c>
    </row>
    <row r="17" spans="2:4" x14ac:dyDescent="0.2">
      <c r="B17" t="s">
        <v>40</v>
      </c>
      <c r="C17">
        <v>0.46666999999999997</v>
      </c>
      <c r="D17">
        <v>0.89905999999999997</v>
      </c>
    </row>
    <row r="18" spans="2:4" x14ac:dyDescent="0.2">
      <c r="B18" t="s">
        <v>36</v>
      </c>
      <c r="C18">
        <v>0.45683000000000001</v>
      </c>
      <c r="D18">
        <v>0.79278999999999999</v>
      </c>
    </row>
    <row r="19" spans="2:4" x14ac:dyDescent="0.2">
      <c r="B19" t="s">
        <v>168</v>
      </c>
      <c r="C19">
        <v>0.3659</v>
      </c>
      <c r="D19">
        <v>0.42210999999999999</v>
      </c>
    </row>
    <row r="20" spans="2:4" x14ac:dyDescent="0.2">
      <c r="B20" t="s">
        <v>303</v>
      </c>
      <c r="C20">
        <v>0.36121999999999999</v>
      </c>
      <c r="D20">
        <v>0.93394999999999995</v>
      </c>
    </row>
    <row r="21" spans="2:4" x14ac:dyDescent="0.2">
      <c r="B21" t="s">
        <v>243</v>
      </c>
      <c r="C21">
        <v>0.35813</v>
      </c>
      <c r="D21">
        <v>0.36558000000000002</v>
      </c>
    </row>
    <row r="22" spans="2:4" x14ac:dyDescent="0.2">
      <c r="B22" t="s">
        <v>292</v>
      </c>
      <c r="C22">
        <v>0.34483000000000003</v>
      </c>
      <c r="D22">
        <v>0.89117999999999997</v>
      </c>
    </row>
    <row r="23" spans="2:4" x14ac:dyDescent="0.2">
      <c r="B23" t="s">
        <v>189</v>
      </c>
      <c r="C23">
        <v>0.30736000000000002</v>
      </c>
      <c r="D23">
        <v>0.90546000000000004</v>
      </c>
    </row>
    <row r="24" spans="2:4" x14ac:dyDescent="0.2">
      <c r="B24" t="s">
        <v>193</v>
      </c>
      <c r="C24">
        <v>0.30260999999999999</v>
      </c>
      <c r="D24">
        <v>0.86395</v>
      </c>
    </row>
    <row r="25" spans="2:4" x14ac:dyDescent="0.2">
      <c r="B25" t="s">
        <v>21</v>
      </c>
      <c r="C25">
        <v>0.30002000000000001</v>
      </c>
      <c r="D25">
        <v>0.36764000000000002</v>
      </c>
    </row>
    <row r="26" spans="2:4" x14ac:dyDescent="0.2">
      <c r="B26" t="s">
        <v>289</v>
      </c>
      <c r="C26">
        <v>0.37218000000000001</v>
      </c>
      <c r="D26">
        <v>0.97770000000000001</v>
      </c>
    </row>
    <row r="27" spans="2:4" x14ac:dyDescent="0.2">
      <c r="B27" t="s">
        <v>253</v>
      </c>
      <c r="C27">
        <v>0.48585</v>
      </c>
      <c r="D27">
        <v>0.88153999999999999</v>
      </c>
    </row>
    <row r="28" spans="2:4" x14ac:dyDescent="0.2">
      <c r="B28" t="s">
        <v>88</v>
      </c>
      <c r="C28">
        <v>0.67791000000000001</v>
      </c>
      <c r="D28">
        <v>0.95140000000000002</v>
      </c>
    </row>
    <row r="29" spans="2:4" x14ac:dyDescent="0.2">
      <c r="B29" t="s">
        <v>84</v>
      </c>
      <c r="C29">
        <v>0.67706999999999995</v>
      </c>
      <c r="D29">
        <v>0.95079000000000002</v>
      </c>
    </row>
    <row r="30" spans="2:4" x14ac:dyDescent="0.2">
      <c r="B30" t="s">
        <v>202</v>
      </c>
      <c r="C30">
        <v>0.28098000000000001</v>
      </c>
      <c r="D30">
        <v>0.37010999999999999</v>
      </c>
    </row>
    <row r="31" spans="2:4" x14ac:dyDescent="0.2">
      <c r="B31" t="s">
        <v>215</v>
      </c>
      <c r="C31">
        <v>0.28622999999999998</v>
      </c>
      <c r="D31">
        <v>0.31646000000000002</v>
      </c>
    </row>
    <row r="32" spans="2:4" x14ac:dyDescent="0.2">
      <c r="B32" t="s">
        <v>142</v>
      </c>
      <c r="C32">
        <v>0.88753000000000004</v>
      </c>
      <c r="D32">
        <v>0.88629999999999998</v>
      </c>
    </row>
    <row r="33" spans="2:4" x14ac:dyDescent="0.2">
      <c r="B33" t="s">
        <v>182</v>
      </c>
      <c r="C33">
        <v>0.94608999999999999</v>
      </c>
      <c r="D33">
        <v>0.95587999999999995</v>
      </c>
    </row>
    <row r="34" spans="2:4" x14ac:dyDescent="0.2">
      <c r="B34" t="s">
        <v>211</v>
      </c>
      <c r="C34">
        <v>0.48496</v>
      </c>
      <c r="D34">
        <v>0.68618000000000001</v>
      </c>
    </row>
    <row r="35" spans="2:4" x14ac:dyDescent="0.2">
      <c r="B35" t="s">
        <v>223</v>
      </c>
      <c r="C35">
        <v>0.35893999999999998</v>
      </c>
      <c r="D35">
        <v>0.89009000000000005</v>
      </c>
    </row>
    <row r="36" spans="2:4" x14ac:dyDescent="0.2">
      <c r="B36" t="s">
        <v>105</v>
      </c>
      <c r="C36">
        <v>0.94089</v>
      </c>
      <c r="D36">
        <v>0.96157000000000004</v>
      </c>
    </row>
    <row r="37" spans="2:4" x14ac:dyDescent="0.2">
      <c r="B37" t="s">
        <v>118</v>
      </c>
      <c r="C37">
        <v>0.84596000000000005</v>
      </c>
      <c r="D37">
        <v>0.85360999999999998</v>
      </c>
    </row>
    <row r="38" spans="2:4" x14ac:dyDescent="0.2">
      <c r="B38" t="s">
        <v>89</v>
      </c>
      <c r="C38">
        <v>0.79468000000000005</v>
      </c>
      <c r="D38">
        <v>0.70767000000000002</v>
      </c>
    </row>
    <row r="39" spans="2:4" x14ac:dyDescent="0.2">
      <c r="B39" t="s">
        <v>179</v>
      </c>
      <c r="C39">
        <v>0.36696000000000001</v>
      </c>
      <c r="D39">
        <v>0.95443</v>
      </c>
    </row>
    <row r="40" spans="2:4" x14ac:dyDescent="0.2">
      <c r="B40" t="s">
        <v>311</v>
      </c>
      <c r="C40">
        <v>0.34650999999999998</v>
      </c>
      <c r="D40">
        <v>0.63702000000000003</v>
      </c>
    </row>
    <row r="41" spans="2:4" x14ac:dyDescent="0.2">
      <c r="B41" t="s">
        <v>272</v>
      </c>
      <c r="C41">
        <v>0.31375999999999998</v>
      </c>
      <c r="D41">
        <v>0.65578999999999998</v>
      </c>
    </row>
    <row r="42" spans="2:4" x14ac:dyDescent="0.2">
      <c r="B42" t="s">
        <v>229</v>
      </c>
      <c r="C42">
        <v>0.30623</v>
      </c>
      <c r="D42">
        <v>0.93752000000000002</v>
      </c>
    </row>
    <row r="43" spans="2:4" x14ac:dyDescent="0.2">
      <c r="B43" t="s">
        <v>76</v>
      </c>
      <c r="C43">
        <v>0.41221000000000002</v>
      </c>
      <c r="D43">
        <v>0</v>
      </c>
    </row>
    <row r="44" spans="2:4" x14ac:dyDescent="0.2">
      <c r="B44" t="s">
        <v>301</v>
      </c>
      <c r="C44">
        <v>0.71560999999999997</v>
      </c>
      <c r="D44">
        <v>0.60185</v>
      </c>
    </row>
    <row r="45" spans="2:4" x14ac:dyDescent="0.2">
      <c r="B45" t="s">
        <v>108</v>
      </c>
      <c r="C45">
        <v>0.91459000000000001</v>
      </c>
      <c r="D45">
        <v>0.93586999999999998</v>
      </c>
    </row>
    <row r="46" spans="2:4" x14ac:dyDescent="0.2">
      <c r="B46" t="s">
        <v>299</v>
      </c>
      <c r="C46">
        <v>0.66251000000000004</v>
      </c>
      <c r="D46">
        <v>0.55489999999999995</v>
      </c>
    </row>
    <row r="47" spans="2:4" x14ac:dyDescent="0.2">
      <c r="B47" t="s">
        <v>286</v>
      </c>
      <c r="C47">
        <v>0.26844000000000001</v>
      </c>
      <c r="D47">
        <v>0.74892000000000003</v>
      </c>
    </row>
    <row r="48" spans="2:4" x14ac:dyDescent="0.2">
      <c r="B48" t="s">
        <v>92</v>
      </c>
      <c r="C48">
        <v>0.86446999999999996</v>
      </c>
      <c r="D48">
        <v>0.49752000000000002</v>
      </c>
    </row>
    <row r="49" spans="2:4" x14ac:dyDescent="0.2">
      <c r="B49" t="s">
        <v>296</v>
      </c>
      <c r="C49">
        <v>0.82735000000000003</v>
      </c>
      <c r="D49">
        <v>0.86389000000000005</v>
      </c>
    </row>
    <row r="50" spans="2:4" x14ac:dyDescent="0.2">
      <c r="B50" t="s">
        <v>81</v>
      </c>
      <c r="C50">
        <v>0.42662</v>
      </c>
      <c r="D50">
        <v>0.84252000000000005</v>
      </c>
    </row>
    <row r="51" spans="2:4" x14ac:dyDescent="0.2">
      <c r="B51" t="s">
        <v>57</v>
      </c>
      <c r="C51">
        <v>0.28986000000000001</v>
      </c>
      <c r="D51">
        <v>0.88400000000000001</v>
      </c>
    </row>
    <row r="52" spans="2:4" x14ac:dyDescent="0.2">
      <c r="B52" t="s">
        <v>64</v>
      </c>
      <c r="C52">
        <v>0.83818000000000004</v>
      </c>
      <c r="D52">
        <v>0.87783</v>
      </c>
    </row>
    <row r="53" spans="2:4" x14ac:dyDescent="0.2">
      <c r="B53" t="s">
        <v>150</v>
      </c>
      <c r="C53">
        <v>0.74760000000000004</v>
      </c>
      <c r="D53">
        <v>0.87107000000000001</v>
      </c>
    </row>
    <row r="54" spans="2:4" x14ac:dyDescent="0.2">
      <c r="B54" t="s">
        <v>102</v>
      </c>
      <c r="C54">
        <v>0.73897999999999997</v>
      </c>
      <c r="D54">
        <v>0.86482000000000003</v>
      </c>
    </row>
    <row r="55" spans="2:4" x14ac:dyDescent="0.2">
      <c r="B55" t="s">
        <v>162</v>
      </c>
      <c r="C55">
        <v>0.73706000000000005</v>
      </c>
      <c r="D55">
        <v>0.86502000000000001</v>
      </c>
    </row>
    <row r="56" spans="2:4" x14ac:dyDescent="0.2">
      <c r="B56" t="s">
        <v>128</v>
      </c>
      <c r="C56">
        <v>0.80327000000000004</v>
      </c>
      <c r="D56">
        <v>0.80732000000000004</v>
      </c>
    </row>
    <row r="57" spans="2:4" x14ac:dyDescent="0.2">
      <c r="B57" t="s">
        <v>158</v>
      </c>
      <c r="C57">
        <v>0.75183</v>
      </c>
      <c r="D57">
        <v>0.86482999999999999</v>
      </c>
    </row>
    <row r="58" spans="2:4" x14ac:dyDescent="0.2">
      <c r="B58" t="s">
        <v>153</v>
      </c>
      <c r="C58">
        <v>0.31384000000000001</v>
      </c>
      <c r="D58">
        <v>0.87253000000000003</v>
      </c>
    </row>
    <row r="59" spans="2:4" x14ac:dyDescent="0.2">
      <c r="B59" t="s">
        <v>186</v>
      </c>
      <c r="C59">
        <v>0.50429999999999997</v>
      </c>
      <c r="D59">
        <v>0.67095000000000005</v>
      </c>
    </row>
    <row r="60" spans="2:4" x14ac:dyDescent="0.2">
      <c r="B60" t="s">
        <v>34</v>
      </c>
      <c r="C60">
        <v>0.47804999999999997</v>
      </c>
      <c r="D60">
        <v>0.84504999999999997</v>
      </c>
    </row>
    <row r="61" spans="2:4" x14ac:dyDescent="0.2">
      <c r="B61" t="s">
        <v>30</v>
      </c>
      <c r="C61">
        <v>0.47665000000000002</v>
      </c>
      <c r="D61">
        <v>0.85414999999999996</v>
      </c>
    </row>
    <row r="62" spans="2:4" x14ac:dyDescent="0.2">
      <c r="B62" t="s">
        <v>199</v>
      </c>
      <c r="C62">
        <v>0.38696999999999998</v>
      </c>
      <c r="D62">
        <v>0.84718000000000004</v>
      </c>
    </row>
    <row r="63" spans="2:4" x14ac:dyDescent="0.2">
      <c r="B63" t="s">
        <v>267</v>
      </c>
      <c r="C63">
        <v>0.38114999999999999</v>
      </c>
      <c r="D63">
        <v>0.79276000000000002</v>
      </c>
    </row>
    <row r="64" spans="2:4" x14ac:dyDescent="0.2">
      <c r="B64" t="s">
        <v>121</v>
      </c>
      <c r="C64">
        <v>0.20608000000000001</v>
      </c>
      <c r="D64">
        <v>0.40927000000000002</v>
      </c>
    </row>
    <row r="65" spans="2:4" x14ac:dyDescent="0.2">
      <c r="B65" t="s">
        <v>70</v>
      </c>
      <c r="C65">
        <v>0.66752999999999996</v>
      </c>
      <c r="D65">
        <v>0.81535000000000002</v>
      </c>
    </row>
    <row r="66" spans="2:4" x14ac:dyDescent="0.2">
      <c r="B66" t="s">
        <v>74</v>
      </c>
      <c r="C66">
        <v>0.66747999999999996</v>
      </c>
      <c r="D66">
        <v>0.82006999999999997</v>
      </c>
    </row>
    <row r="67" spans="2:4" x14ac:dyDescent="0.2">
      <c r="B67" t="s">
        <v>111</v>
      </c>
      <c r="C67">
        <v>0.5675</v>
      </c>
      <c r="D67">
        <v>0.62231000000000003</v>
      </c>
    </row>
    <row r="68" spans="2:4" x14ac:dyDescent="0.2">
      <c r="B68" t="s">
        <v>49</v>
      </c>
      <c r="C68">
        <v>0.47844999999999999</v>
      </c>
      <c r="D68">
        <v>0.63634000000000002</v>
      </c>
    </row>
    <row r="69" spans="2:4" x14ac:dyDescent="0.2">
      <c r="B69" t="s">
        <v>45</v>
      </c>
      <c r="C69">
        <v>0.24790999999999999</v>
      </c>
      <c r="D69">
        <v>0.59770999999999996</v>
      </c>
    </row>
    <row r="70" spans="2:4" x14ac:dyDescent="0.2">
      <c r="B70" t="s">
        <v>321</v>
      </c>
      <c r="C70">
        <v>0.50146999999999997</v>
      </c>
      <c r="D70">
        <v>0.74292000000000002</v>
      </c>
    </row>
    <row r="71" spans="2:4" x14ac:dyDescent="0.2">
      <c r="B71" t="s">
        <v>210</v>
      </c>
      <c r="C71">
        <v>0.25747999999999999</v>
      </c>
      <c r="D71">
        <v>0.85321000000000002</v>
      </c>
    </row>
    <row r="72" spans="2:4" x14ac:dyDescent="0.2">
      <c r="B72" t="s">
        <v>124</v>
      </c>
      <c r="C72">
        <v>0.73416999999999999</v>
      </c>
      <c r="D72">
        <v>0.76275000000000004</v>
      </c>
    </row>
    <row r="73" spans="2:4" x14ac:dyDescent="0.2">
      <c r="B73" t="s">
        <v>239</v>
      </c>
      <c r="C73">
        <v>0.27176</v>
      </c>
      <c r="D73">
        <v>0.75583</v>
      </c>
    </row>
    <row r="74" spans="2:4" x14ac:dyDescent="0.2">
      <c r="B74" t="s">
        <v>273</v>
      </c>
      <c r="C74">
        <v>0.74278999999999995</v>
      </c>
      <c r="D74">
        <v>0.74214000000000002</v>
      </c>
    </row>
    <row r="75" spans="2:4" x14ac:dyDescent="0.2">
      <c r="B75" t="s">
        <v>314</v>
      </c>
      <c r="C75">
        <v>0.23483000000000001</v>
      </c>
      <c r="D75">
        <v>0.42877999999999999</v>
      </c>
    </row>
    <row r="76" spans="2:4" x14ac:dyDescent="0.2">
      <c r="B76" t="s">
        <v>309</v>
      </c>
      <c r="C76">
        <v>0.42888999999999999</v>
      </c>
      <c r="D76">
        <v>0.52981999999999996</v>
      </c>
    </row>
    <row r="77" spans="2:4" x14ac:dyDescent="0.2">
      <c r="B77" t="s">
        <v>114</v>
      </c>
      <c r="C77">
        <v>0.74897999999999998</v>
      </c>
      <c r="D77">
        <v>0.73811000000000004</v>
      </c>
    </row>
    <row r="78" spans="2:4" x14ac:dyDescent="0.2">
      <c r="B78" t="s">
        <v>61</v>
      </c>
      <c r="C78">
        <v>0.22026000000000001</v>
      </c>
      <c r="D78">
        <v>0.74663000000000002</v>
      </c>
    </row>
    <row r="79" spans="2:4" x14ac:dyDescent="0.2">
      <c r="B79" t="s">
        <v>163</v>
      </c>
      <c r="C79">
        <v>0.28982000000000002</v>
      </c>
      <c r="D79">
        <v>0.87056</v>
      </c>
    </row>
    <row r="80" spans="2:4" x14ac:dyDescent="0.2">
      <c r="B80" t="s">
        <v>263</v>
      </c>
      <c r="C80">
        <v>0.54527999999999999</v>
      </c>
      <c r="D80">
        <v>0.63166</v>
      </c>
    </row>
    <row r="81" spans="2:4" x14ac:dyDescent="0.2">
      <c r="B81" t="s">
        <v>256</v>
      </c>
      <c r="C81">
        <v>0.52022000000000002</v>
      </c>
      <c r="D81">
        <v>0.59677000000000002</v>
      </c>
    </row>
    <row r="82" spans="2:4" x14ac:dyDescent="0.2">
      <c r="B82" t="s">
        <v>94</v>
      </c>
      <c r="C82">
        <v>0.59402999999999995</v>
      </c>
      <c r="D82">
        <v>0.60172000000000003</v>
      </c>
    </row>
    <row r="83" spans="2:4" x14ac:dyDescent="0.2">
      <c r="B83" t="s">
        <v>277</v>
      </c>
      <c r="C83">
        <v>0.42716999999999999</v>
      </c>
      <c r="D83">
        <v>0.37636999999999998</v>
      </c>
    </row>
    <row r="84" spans="2:4" x14ac:dyDescent="0.2">
      <c r="B84" t="s">
        <v>236</v>
      </c>
      <c r="C84">
        <v>0.42559000000000002</v>
      </c>
      <c r="D84">
        <v>0.37863000000000002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pdb_metadata_with_tmalign_2 cop</vt:lpstr>
      <vt:lpstr>pdb_metadata_with_tmalign copy </vt:lpstr>
      <vt:lpstr>pdb_metadata_with_tmalign_2 (2)</vt:lpstr>
      <vt:lpstr>pdb_metadata_with_tmalign_2</vt:lpstr>
      <vt:lpstr>pdb_metadata_with_tmalign_AF2</vt:lpstr>
      <vt:lpstr>Structures</vt:lpstr>
      <vt:lpstr>pdb_metadata_with_tmalign_A (2)</vt:lpstr>
      <vt:lpstr>Structures_all</vt:lpstr>
      <vt:lpstr>pdb_metadata_with_tmalign_AF3</vt:lpstr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Oei, R.M. (Rachel)</dc:creator>
  <cp:lastModifiedBy>Oei, R.M. (Rachel)</cp:lastModifiedBy>
  <dcterms:created xsi:type="dcterms:W3CDTF">2026-07-03T13:38:29Z</dcterms:created>
  <dcterms:modified xsi:type="dcterms:W3CDTF">2026-07-24T15:18:16Z</dcterms:modified>
</cp:coreProperties>
</file>